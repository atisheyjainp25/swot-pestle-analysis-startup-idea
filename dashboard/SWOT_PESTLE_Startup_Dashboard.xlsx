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tish\Downloads\Resume\IIT Delhi\Digital Marketing Projects\SWOT &amp; PESTLE Analysis for a Startup Idea\dashboard\"/>
    </mc:Choice>
  </mc:AlternateContent>
  <xr:revisionPtr revIDLastSave="0" documentId="13_ncr:1_{671E6BE7-24A0-4800-B692-3743FBC0B502}" xr6:coauthVersionLast="47" xr6:coauthVersionMax="47" xr10:uidLastSave="{00000000-0000-0000-0000-000000000000}"/>
  <bookViews>
    <workbookView xWindow="-98" yWindow="-98" windowWidth="21795" windowHeight="12975" xr2:uid="{B3B5DC90-6D6F-4CF5-ACF6-F5DA56084703}"/>
  </bookViews>
  <sheets>
    <sheet name="Dashboard" sheetId="3" r:id="rId1"/>
    <sheet name="Pivots" sheetId="2" state="hidden" r:id="rId2"/>
    <sheet name="Data" sheetId="1" r:id="rId3"/>
  </sheets>
  <definedNames>
    <definedName name="_xlnm.Print_Area" localSheetId="0">Dashboard!$A$1:$O$44</definedName>
    <definedName name="Slicer_Industry">#N/A</definedName>
    <definedName name="Slicer_Region">#N/A</definedName>
    <definedName name="Slicer_Risk_Lev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3" l="1"/>
  <c r="J5" i="3"/>
  <c r="G5" i="3"/>
  <c r="D5" i="3"/>
  <c r="A5" i="3"/>
</calcChain>
</file>

<file path=xl/sharedStrings.xml><?xml version="1.0" encoding="utf-8"?>
<sst xmlns="http://schemas.openxmlformats.org/spreadsheetml/2006/main" count="1370" uniqueCount="221">
  <si>
    <t>Startup ID</t>
  </si>
  <si>
    <t>Startup Name</t>
  </si>
  <si>
    <t>Industry</t>
  </si>
  <si>
    <t>Product/Service</t>
  </si>
  <si>
    <t>Target Customer Segment</t>
  </si>
  <si>
    <t>Region</t>
  </si>
  <si>
    <t>Market Size Estimate</t>
  </si>
  <si>
    <t>Startup Strength</t>
  </si>
  <si>
    <t>Startup Weakness</t>
  </si>
  <si>
    <t>Market Opportunity</t>
  </si>
  <si>
    <t>Market Threat</t>
  </si>
  <si>
    <t>Political Impact Score</t>
  </si>
  <si>
    <t>Economic Impact Score</t>
  </si>
  <si>
    <t>Social Impact Score</t>
  </si>
  <si>
    <t>Technological Impact Score</t>
  </si>
  <si>
    <t>Legal Impact Score</t>
  </si>
  <si>
    <t>Environmental Impact Score</t>
  </si>
  <si>
    <t>Competitive Intensity Score</t>
  </si>
  <si>
    <t>Risk Level</t>
  </si>
  <si>
    <t>Growth Potential Score</t>
  </si>
  <si>
    <t>Macro</t>
  </si>
  <si>
    <t>Opportunity Score</t>
  </si>
  <si>
    <t>Viability</t>
  </si>
  <si>
    <t>Investment Score</t>
  </si>
  <si>
    <t>Risk High</t>
  </si>
  <si>
    <t>Group</t>
  </si>
  <si>
    <t>ST1001</t>
  </si>
  <si>
    <t>CropCloud</t>
  </si>
  <si>
    <t>AgriTech</t>
  </si>
  <si>
    <t>Mobile Platform</t>
  </si>
  <si>
    <t>Students</t>
  </si>
  <si>
    <t>North</t>
  </si>
  <si>
    <t>Innovative Technology</t>
  </si>
  <si>
    <t>Small Team</t>
  </si>
  <si>
    <t>Untapped Segments</t>
  </si>
  <si>
    <t>Tech Disruption</t>
  </si>
  <si>
    <t>Medium</t>
  </si>
  <si>
    <t>Total</t>
  </si>
  <si>
    <t>ST1002</t>
  </si>
  <si>
    <t>GreenFlow</t>
  </si>
  <si>
    <t>CleanTech</t>
  </si>
  <si>
    <t>SaaS Tool</t>
  </si>
  <si>
    <t>SMBs</t>
  </si>
  <si>
    <t>West</t>
  </si>
  <si>
    <t>Strategic Partnerships</t>
  </si>
  <si>
    <t>Limited Funding</t>
  </si>
  <si>
    <t>Government Incentives</t>
  </si>
  <si>
    <t>Economic Slowdown</t>
  </si>
  <si>
    <t>High</t>
  </si>
  <si>
    <t>ST1003</t>
  </si>
  <si>
    <t>SolarGrid</t>
  </si>
  <si>
    <t>Advisory Service</t>
  </si>
  <si>
    <t>Enterprises</t>
  </si>
  <si>
    <t>Strong Founding Team</t>
  </si>
  <si>
    <t>Regulatory Exposure</t>
  </si>
  <si>
    <t>Intense Competition</t>
  </si>
  <si>
    <t>ST1004</t>
  </si>
  <si>
    <t>CareLoop</t>
  </si>
  <si>
    <t>HealthTech</t>
  </si>
  <si>
    <t>South</t>
  </si>
  <si>
    <t>Growing Market Demand</t>
  </si>
  <si>
    <t>Low</t>
  </si>
  <si>
    <t>ST1005</t>
  </si>
  <si>
    <t>RouteIQ</t>
  </si>
  <si>
    <t>Logistics</t>
  </si>
  <si>
    <t>Pan-India</t>
  </si>
  <si>
    <t>Strong IP</t>
  </si>
  <si>
    <t>Low Brand Awareness</t>
  </si>
  <si>
    <t>Digital Adoption</t>
  </si>
  <si>
    <t>ST1006</t>
  </si>
  <si>
    <t>PayPlus</t>
  </si>
  <si>
    <t>FinTech</t>
  </si>
  <si>
    <t>First-Mover Advantage</t>
  </si>
  <si>
    <t>ST1007</t>
  </si>
  <si>
    <t>TutorHub</t>
  </si>
  <si>
    <t>EdTech</t>
  </si>
  <si>
    <t>Gig Workers</t>
  </si>
  <si>
    <t>ST1008</t>
  </si>
  <si>
    <t>WellTrack</t>
  </si>
  <si>
    <t>Rural Consumers</t>
  </si>
  <si>
    <t>Low-Cost Model</t>
  </si>
  <si>
    <t>High Burn Rate</t>
  </si>
  <si>
    <t>Regulatory Changes</t>
  </si>
  <si>
    <t>ST1009</t>
  </si>
  <si>
    <t>ST1010</t>
  </si>
  <si>
    <t>Urban Millennials</t>
  </si>
  <si>
    <t>ST1011</t>
  </si>
  <si>
    <t>CargoNest</t>
  </si>
  <si>
    <t>IoT Device</t>
  </si>
  <si>
    <t>East</t>
  </si>
  <si>
    <t>Changing Customer Behaviour</t>
  </si>
  <si>
    <t>ST1012</t>
  </si>
  <si>
    <t>LearnX</t>
  </si>
  <si>
    <t>ST1013</t>
  </si>
  <si>
    <t>WealthNest</t>
  </si>
  <si>
    <t>ST1014</t>
  </si>
  <si>
    <t>Marketplace</t>
  </si>
  <si>
    <t>ST1015</t>
  </si>
  <si>
    <t>Unproven Model</t>
  </si>
  <si>
    <t>ST1016</t>
  </si>
  <si>
    <t>EcoCharge</t>
  </si>
  <si>
    <t>Subscription App</t>
  </si>
  <si>
    <t>ST1017</t>
  </si>
  <si>
    <t>ST1018</t>
  </si>
  <si>
    <t>QuickShip</t>
  </si>
  <si>
    <t>ST1019</t>
  </si>
  <si>
    <t>FarmIQ</t>
  </si>
  <si>
    <t>Export Potential</t>
  </si>
  <si>
    <t>ST1020</t>
  </si>
  <si>
    <t>ST1021</t>
  </si>
  <si>
    <t>ST1022</t>
  </si>
  <si>
    <t>ST1023</t>
  </si>
  <si>
    <t>MediGo</t>
  </si>
  <si>
    <t>ST1024</t>
  </si>
  <si>
    <t>ST1025</t>
  </si>
  <si>
    <t>Partnership Channels</t>
  </si>
  <si>
    <t>ST1026</t>
  </si>
  <si>
    <t>CrediFy</t>
  </si>
  <si>
    <t>ST1027</t>
  </si>
  <si>
    <t>ST1028</t>
  </si>
  <si>
    <t>Funding Crunch</t>
  </si>
  <si>
    <t>ST1029</t>
  </si>
  <si>
    <t>ST1030</t>
  </si>
  <si>
    <t>SkillBay</t>
  </si>
  <si>
    <t>ST1031</t>
  </si>
  <si>
    <t>ST1032</t>
  </si>
  <si>
    <t>ST1033</t>
  </si>
  <si>
    <t>ST1034</t>
  </si>
  <si>
    <t>ST1035</t>
  </si>
  <si>
    <t>ST1036</t>
  </si>
  <si>
    <t>ST1037</t>
  </si>
  <si>
    <t>ST1038</t>
  </si>
  <si>
    <t>ST1039</t>
  </si>
  <si>
    <t>ST1040</t>
  </si>
  <si>
    <t>ST1041</t>
  </si>
  <si>
    <t>ST1042</t>
  </si>
  <si>
    <t>ST1043</t>
  </si>
  <si>
    <t>ST1044</t>
  </si>
  <si>
    <t>ST1045</t>
  </si>
  <si>
    <t>ST1046</t>
  </si>
  <si>
    <t>ST1047</t>
  </si>
  <si>
    <t>AgroLink</t>
  </si>
  <si>
    <t>ST1048</t>
  </si>
  <si>
    <t>ST1049</t>
  </si>
  <si>
    <t>ST1050</t>
  </si>
  <si>
    <t>ST1051</t>
  </si>
  <si>
    <t>ST1052</t>
  </si>
  <si>
    <t>ST1053</t>
  </si>
  <si>
    <t>ST1054</t>
  </si>
  <si>
    <t>ST1055</t>
  </si>
  <si>
    <t>ST1056</t>
  </si>
  <si>
    <t>ST1057</t>
  </si>
  <si>
    <t>ST1058</t>
  </si>
  <si>
    <t>ST1059</t>
  </si>
  <si>
    <t>ST1060</t>
  </si>
  <si>
    <t>ST1061</t>
  </si>
  <si>
    <t>ST1062</t>
  </si>
  <si>
    <t>ST1063</t>
  </si>
  <si>
    <t>ST1064</t>
  </si>
  <si>
    <t>ST1065</t>
  </si>
  <si>
    <t>ST1066</t>
  </si>
  <si>
    <t>ST1067</t>
  </si>
  <si>
    <t>ST1068</t>
  </si>
  <si>
    <t>ST1069</t>
  </si>
  <si>
    <t>ST1070</t>
  </si>
  <si>
    <t>ST1071</t>
  </si>
  <si>
    <t>ST1072</t>
  </si>
  <si>
    <t>ST1073</t>
  </si>
  <si>
    <t>ST1074</t>
  </si>
  <si>
    <t>ST1075</t>
  </si>
  <si>
    <t>ST1076</t>
  </si>
  <si>
    <t>ST1077</t>
  </si>
  <si>
    <t>ST1078</t>
  </si>
  <si>
    <t>ST1079</t>
  </si>
  <si>
    <t>ST1080</t>
  </si>
  <si>
    <t>ST1081</t>
  </si>
  <si>
    <t>ST1082</t>
  </si>
  <si>
    <t>ST1083</t>
  </si>
  <si>
    <t>ST1084</t>
  </si>
  <si>
    <t>ST1085</t>
  </si>
  <si>
    <t>ST1086</t>
  </si>
  <si>
    <t>ST1087</t>
  </si>
  <si>
    <t>ST1088</t>
  </si>
  <si>
    <t>ST1089</t>
  </si>
  <si>
    <t>ST1090</t>
  </si>
  <si>
    <t>ST1091</t>
  </si>
  <si>
    <t>ST1092</t>
  </si>
  <si>
    <t>ST1093</t>
  </si>
  <si>
    <t>ST1094</t>
  </si>
  <si>
    <t>ST1095</t>
  </si>
  <si>
    <t>ST1096</t>
  </si>
  <si>
    <t>ST1097</t>
  </si>
  <si>
    <t>ST1098</t>
  </si>
  <si>
    <t>ST1099</t>
  </si>
  <si>
    <t>ST1100</t>
  </si>
  <si>
    <t>ST1101</t>
  </si>
  <si>
    <t>ST1102</t>
  </si>
  <si>
    <t>ST1103</t>
  </si>
  <si>
    <t>ST1104</t>
  </si>
  <si>
    <t>ST1105</t>
  </si>
  <si>
    <t>ST1106</t>
  </si>
  <si>
    <t>ST1107</t>
  </si>
  <si>
    <t>ST1108</t>
  </si>
  <si>
    <t>Row Labels</t>
  </si>
  <si>
    <t>Grand Total</t>
  </si>
  <si>
    <t>Avg Viability</t>
  </si>
  <si>
    <t>Avg Growth Potential</t>
  </si>
  <si>
    <t>High-Risk %</t>
  </si>
  <si>
    <t>Avg Opportunity Score</t>
  </si>
  <si>
    <t>Avg Investment Score</t>
  </si>
  <si>
    <t>Political</t>
  </si>
  <si>
    <t>Economic</t>
  </si>
  <si>
    <t>Social</t>
  </si>
  <si>
    <t>Technological</t>
  </si>
  <si>
    <t>Legal</t>
  </si>
  <si>
    <t>Environmental</t>
  </si>
  <si>
    <t>Avg Growth</t>
  </si>
  <si>
    <t>Count</t>
  </si>
  <si>
    <t>Avg Intensity</t>
  </si>
  <si>
    <t>SWOT &amp; PESTLE Analysis - Startup Strategy Dashboard</t>
  </si>
  <si>
    <t>Viability, growth, PESTLE profile &amp; risk  -  interactive: use the slicers on the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</si>
</sst>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100&quot;"/>
    <numFmt numFmtId="165" formatCode="0.0%"/>
  </numFmts>
  <fonts count="9" x14ac:knownFonts="1">
    <font>
      <sz val="11"/>
      <color theme="1"/>
      <name val="Aptos Narrow"/>
      <family val="2"/>
      <scheme val="minor"/>
    </font>
    <font>
      <b/>
      <sz val="16"/>
      <color rgb="FFFFFFFF"/>
      <name val="Aptos Narrow"/>
      <family val="2"/>
      <scheme val="minor"/>
    </font>
    <font>
      <i/>
      <sz val="9"/>
      <color rgb="FF5A6472"/>
      <name val="Aptos Narrow"/>
      <family val="2"/>
      <scheme val="minor"/>
    </font>
    <font>
      <b/>
      <sz val="8.5"/>
      <color rgb="FF5A6472"/>
      <name val="Aptos Narrow"/>
      <family val="2"/>
      <scheme val="minor"/>
    </font>
    <font>
      <b/>
      <sz val="16"/>
      <color rgb="FF1F3A5F"/>
      <name val="Aptos Narrow"/>
      <family val="2"/>
      <scheme val="minor"/>
    </font>
    <font>
      <b/>
      <sz val="16"/>
      <color rgb="FF5FB49C"/>
      <name val="Aptos Narrow"/>
      <family val="2"/>
      <scheme val="minor"/>
    </font>
    <font>
      <b/>
      <sz val="16"/>
      <color rgb="FFB4436C"/>
      <name val="Aptos Narrow"/>
      <family val="2"/>
      <scheme val="minor"/>
    </font>
    <font>
      <b/>
      <sz val="16"/>
      <color rgb="FF2E86AB"/>
      <name val="Aptos Narrow"/>
      <family val="2"/>
      <scheme val="minor"/>
    </font>
    <font>
      <b/>
      <sz val="16"/>
      <color rgb="FF6A4C93"/>
      <name val="Aptos Narrow"/>
      <family val="2"/>
      <scheme val="minor"/>
    </font>
  </fonts>
  <fills count="5">
    <fill>
      <patternFill patternType="none"/>
    </fill>
    <fill>
      <patternFill patternType="gray125"/>
    </fill>
    <fill>
      <patternFill patternType="solid">
        <fgColor rgb="FFEEF1F5"/>
        <bgColor indexed="64"/>
      </patternFill>
    </fill>
    <fill>
      <patternFill patternType="solid">
        <fgColor rgb="FF1F3A5F"/>
        <bgColor indexed="64"/>
      </patternFill>
    </fill>
    <fill>
      <patternFill patternType="solid">
        <fgColor rgb="FFFFFFFF"/>
        <bgColor indexed="64"/>
      </patternFill>
    </fill>
  </fills>
  <borders count="7">
    <border>
      <left/>
      <right/>
      <top/>
      <bottom/>
      <diagonal/>
    </border>
    <border>
      <left style="thin">
        <color rgb="FFE3E7EC"/>
      </left>
      <right/>
      <top style="thin">
        <color rgb="FFE3E7EC"/>
      </top>
      <bottom/>
      <diagonal/>
    </border>
    <border>
      <left/>
      <right/>
      <top style="thin">
        <color rgb="FFE3E7EC"/>
      </top>
      <bottom/>
      <diagonal/>
    </border>
    <border>
      <left style="thin">
        <color rgb="FFE3E7EC"/>
      </left>
      <right/>
      <top/>
      <bottom style="thin">
        <color rgb="FFE3E7EC"/>
      </bottom>
      <diagonal/>
    </border>
    <border>
      <left/>
      <right/>
      <top/>
      <bottom style="thin">
        <color rgb="FFE3E7EC"/>
      </bottom>
      <diagonal/>
    </border>
    <border>
      <left/>
      <right style="thin">
        <color rgb="FFE3E7EC"/>
      </right>
      <top style="thin">
        <color rgb="FFE3E7EC"/>
      </top>
      <bottom/>
      <diagonal/>
    </border>
    <border>
      <left/>
      <right style="thin">
        <color rgb="FFE3E7EC"/>
      </right>
      <top/>
      <bottom style="thin">
        <color rgb="FFE3E7EC"/>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0" fontId="3" fillId="4" borderId="1" xfId="0" applyFont="1" applyFill="1" applyBorder="1" applyAlignment="1">
      <alignment horizontal="left" indent="1"/>
    </xf>
    <xf numFmtId="0" fontId="0" fillId="4" borderId="2" xfId="0" applyFill="1" applyBorder="1" applyAlignment="1">
      <alignment horizontal="left" indent="1"/>
    </xf>
    <xf numFmtId="0" fontId="0" fillId="4" borderId="5" xfId="0" applyFill="1" applyBorder="1" applyAlignment="1">
      <alignment horizontal="left" indent="1"/>
    </xf>
    <xf numFmtId="164" fontId="8" fillId="4" borderId="3" xfId="0" applyNumberFormat="1" applyFont="1" applyFill="1" applyBorder="1" applyAlignment="1">
      <alignment horizontal="left" indent="1"/>
    </xf>
    <xf numFmtId="0" fontId="0" fillId="4" borderId="4" xfId="0" applyFill="1" applyBorder="1" applyAlignment="1">
      <alignment horizontal="left" indent="1"/>
    </xf>
    <xf numFmtId="0" fontId="0" fillId="4" borderId="6" xfId="0" applyFill="1" applyBorder="1" applyAlignment="1">
      <alignment horizontal="left" indent="1"/>
    </xf>
    <xf numFmtId="0" fontId="1" fillId="3" borderId="0" xfId="0" applyFont="1" applyFill="1" applyAlignment="1">
      <alignment horizontal="left" vertical="center" indent="1"/>
    </xf>
    <xf numFmtId="0" fontId="0" fillId="2" borderId="0" xfId="0" applyFill="1" applyAlignment="1">
      <alignment horizontal="left" vertical="center" indent="1"/>
    </xf>
    <xf numFmtId="0" fontId="2" fillId="2" borderId="0" xfId="0" applyFont="1" applyFill="1" applyAlignment="1">
      <alignment horizontal="left" indent="1"/>
    </xf>
    <xf numFmtId="0" fontId="0" fillId="2" borderId="0" xfId="0" applyFill="1" applyAlignment="1">
      <alignment horizontal="left" indent="1"/>
    </xf>
    <xf numFmtId="164" fontId="4" fillId="4" borderId="3" xfId="0" applyNumberFormat="1" applyFont="1" applyFill="1" applyBorder="1" applyAlignment="1">
      <alignment horizontal="left" indent="1"/>
    </xf>
    <xf numFmtId="164" fontId="5" fillId="4" borderId="3" xfId="0" applyNumberFormat="1" applyFont="1" applyFill="1" applyBorder="1" applyAlignment="1">
      <alignment horizontal="left" indent="1"/>
    </xf>
    <xf numFmtId="165" fontId="6" fillId="4" borderId="3" xfId="0" applyNumberFormat="1" applyFont="1" applyFill="1" applyBorder="1" applyAlignment="1">
      <alignment horizontal="left" indent="1"/>
    </xf>
    <xf numFmtId="164" fontId="7" fillId="4" borderId="3" xfId="0" applyNumberFormat="1" applyFont="1" applyFill="1" applyBorder="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[SWOT_PESTLE_Startup_Dashboard.xlsx]Pivots!pt0</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PESTLE Impact Profile (avg 1-10)</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c:f>
              <c:strCache>
                <c:ptCount val="1"/>
                <c:pt idx="0">
                  <c:v>Political</c:v>
                </c:pt>
              </c:strCache>
            </c:strRef>
          </c:tx>
          <c:spPr>
            <a:solidFill>
              <a:schemeClr val="accent1"/>
            </a:solidFill>
            <a:ln>
              <a:noFill/>
            </a:ln>
            <a:effectLst/>
          </c:spPr>
          <c:invertIfNegative val="0"/>
          <c:cat>
            <c:strRef>
              <c:f>Pivots!$I$2:$I$3</c:f>
              <c:strCache>
                <c:ptCount val="1"/>
                <c:pt idx="0">
                  <c:v>Total</c:v>
                </c:pt>
              </c:strCache>
            </c:strRef>
          </c:cat>
          <c:val>
            <c:numRef>
              <c:f>Pivots!$J$2:$J$3</c:f>
              <c:numCache>
                <c:formatCode>General</c:formatCode>
                <c:ptCount val="1"/>
                <c:pt idx="0">
                  <c:v>5.7129629629629628</c:v>
                </c:pt>
              </c:numCache>
            </c:numRef>
          </c:val>
          <c:extLst>
            <c:ext xmlns:c16="http://schemas.microsoft.com/office/drawing/2014/chart" uri="{C3380CC4-5D6E-409C-BE32-E72D297353CC}">
              <c16:uniqueId val="{00000000-D484-46C3-857C-67EE27EFEA4B}"/>
            </c:ext>
          </c:extLst>
        </c:ser>
        <c:ser>
          <c:idx val="1"/>
          <c:order val="1"/>
          <c:tx>
            <c:strRef>
              <c:f>Pivots!$K$1</c:f>
              <c:strCache>
                <c:ptCount val="1"/>
                <c:pt idx="0">
                  <c:v>Economic</c:v>
                </c:pt>
              </c:strCache>
            </c:strRef>
          </c:tx>
          <c:spPr>
            <a:solidFill>
              <a:schemeClr val="accent2"/>
            </a:solidFill>
            <a:ln>
              <a:noFill/>
            </a:ln>
            <a:effectLst/>
          </c:spPr>
          <c:invertIfNegative val="0"/>
          <c:cat>
            <c:strRef>
              <c:f>Pivots!$I$2:$I$3</c:f>
              <c:strCache>
                <c:ptCount val="1"/>
                <c:pt idx="0">
                  <c:v>Total</c:v>
                </c:pt>
              </c:strCache>
            </c:strRef>
          </c:cat>
          <c:val>
            <c:numRef>
              <c:f>Pivots!$K$2:$K$3</c:f>
              <c:numCache>
                <c:formatCode>General</c:formatCode>
                <c:ptCount val="1"/>
                <c:pt idx="0">
                  <c:v>5.4444444444444446</c:v>
                </c:pt>
              </c:numCache>
            </c:numRef>
          </c:val>
          <c:extLst>
            <c:ext xmlns:c16="http://schemas.microsoft.com/office/drawing/2014/chart" uri="{C3380CC4-5D6E-409C-BE32-E72D297353CC}">
              <c16:uniqueId val="{00000001-D484-46C3-857C-67EE27EFEA4B}"/>
            </c:ext>
          </c:extLst>
        </c:ser>
        <c:ser>
          <c:idx val="2"/>
          <c:order val="2"/>
          <c:tx>
            <c:strRef>
              <c:f>Pivots!$L$1</c:f>
              <c:strCache>
                <c:ptCount val="1"/>
                <c:pt idx="0">
                  <c:v>Social</c:v>
                </c:pt>
              </c:strCache>
            </c:strRef>
          </c:tx>
          <c:spPr>
            <a:solidFill>
              <a:schemeClr val="accent3"/>
            </a:solidFill>
            <a:ln>
              <a:noFill/>
            </a:ln>
            <a:effectLst/>
          </c:spPr>
          <c:invertIfNegative val="0"/>
          <c:cat>
            <c:strRef>
              <c:f>Pivots!$I$2:$I$3</c:f>
              <c:strCache>
                <c:ptCount val="1"/>
                <c:pt idx="0">
                  <c:v>Total</c:v>
                </c:pt>
              </c:strCache>
            </c:strRef>
          </c:cat>
          <c:val>
            <c:numRef>
              <c:f>Pivots!$L$2:$L$3</c:f>
              <c:numCache>
                <c:formatCode>General</c:formatCode>
                <c:ptCount val="1"/>
                <c:pt idx="0">
                  <c:v>5.3518518518518521</c:v>
                </c:pt>
              </c:numCache>
            </c:numRef>
          </c:val>
          <c:extLst>
            <c:ext xmlns:c16="http://schemas.microsoft.com/office/drawing/2014/chart" uri="{C3380CC4-5D6E-409C-BE32-E72D297353CC}">
              <c16:uniqueId val="{00000002-D484-46C3-857C-67EE27EFEA4B}"/>
            </c:ext>
          </c:extLst>
        </c:ser>
        <c:ser>
          <c:idx val="3"/>
          <c:order val="3"/>
          <c:tx>
            <c:strRef>
              <c:f>Pivots!$M$1</c:f>
              <c:strCache>
                <c:ptCount val="1"/>
                <c:pt idx="0">
                  <c:v>Technological</c:v>
                </c:pt>
              </c:strCache>
            </c:strRef>
          </c:tx>
          <c:spPr>
            <a:solidFill>
              <a:schemeClr val="accent4"/>
            </a:solidFill>
            <a:ln>
              <a:noFill/>
            </a:ln>
            <a:effectLst/>
          </c:spPr>
          <c:invertIfNegative val="0"/>
          <c:cat>
            <c:strRef>
              <c:f>Pivots!$I$2:$I$3</c:f>
              <c:strCache>
                <c:ptCount val="1"/>
                <c:pt idx="0">
                  <c:v>Total</c:v>
                </c:pt>
              </c:strCache>
            </c:strRef>
          </c:cat>
          <c:val>
            <c:numRef>
              <c:f>Pivots!$M$2:$M$3</c:f>
              <c:numCache>
                <c:formatCode>General</c:formatCode>
                <c:ptCount val="1"/>
                <c:pt idx="0">
                  <c:v>6.75</c:v>
                </c:pt>
              </c:numCache>
            </c:numRef>
          </c:val>
          <c:extLst>
            <c:ext xmlns:c16="http://schemas.microsoft.com/office/drawing/2014/chart" uri="{C3380CC4-5D6E-409C-BE32-E72D297353CC}">
              <c16:uniqueId val="{00000003-D484-46C3-857C-67EE27EFEA4B}"/>
            </c:ext>
          </c:extLst>
        </c:ser>
        <c:ser>
          <c:idx val="4"/>
          <c:order val="4"/>
          <c:tx>
            <c:strRef>
              <c:f>Pivots!$N$1</c:f>
              <c:strCache>
                <c:ptCount val="1"/>
                <c:pt idx="0">
                  <c:v>Legal</c:v>
                </c:pt>
              </c:strCache>
            </c:strRef>
          </c:tx>
          <c:spPr>
            <a:solidFill>
              <a:schemeClr val="accent5"/>
            </a:solidFill>
            <a:ln>
              <a:noFill/>
            </a:ln>
            <a:effectLst/>
          </c:spPr>
          <c:invertIfNegative val="0"/>
          <c:cat>
            <c:strRef>
              <c:f>Pivots!$I$2:$I$3</c:f>
              <c:strCache>
                <c:ptCount val="1"/>
                <c:pt idx="0">
                  <c:v>Total</c:v>
                </c:pt>
              </c:strCache>
            </c:strRef>
          </c:cat>
          <c:val>
            <c:numRef>
              <c:f>Pivots!$N$2:$N$3</c:f>
              <c:numCache>
                <c:formatCode>General</c:formatCode>
                <c:ptCount val="1"/>
                <c:pt idx="0">
                  <c:v>5.7314814814814818</c:v>
                </c:pt>
              </c:numCache>
            </c:numRef>
          </c:val>
          <c:extLst>
            <c:ext xmlns:c16="http://schemas.microsoft.com/office/drawing/2014/chart" uri="{C3380CC4-5D6E-409C-BE32-E72D297353CC}">
              <c16:uniqueId val="{00000004-D484-46C3-857C-67EE27EFEA4B}"/>
            </c:ext>
          </c:extLst>
        </c:ser>
        <c:ser>
          <c:idx val="5"/>
          <c:order val="5"/>
          <c:tx>
            <c:strRef>
              <c:f>Pivots!$O$1</c:f>
              <c:strCache>
                <c:ptCount val="1"/>
                <c:pt idx="0">
                  <c:v>Environmental</c:v>
                </c:pt>
              </c:strCache>
            </c:strRef>
          </c:tx>
          <c:spPr>
            <a:solidFill>
              <a:schemeClr val="accent6"/>
            </a:solidFill>
            <a:ln>
              <a:noFill/>
            </a:ln>
            <a:effectLst/>
          </c:spPr>
          <c:invertIfNegative val="0"/>
          <c:cat>
            <c:strRef>
              <c:f>Pivots!$I$2:$I$3</c:f>
              <c:strCache>
                <c:ptCount val="1"/>
                <c:pt idx="0">
                  <c:v>Total</c:v>
                </c:pt>
              </c:strCache>
            </c:strRef>
          </c:cat>
          <c:val>
            <c:numRef>
              <c:f>Pivots!$O$2:$O$3</c:f>
              <c:numCache>
                <c:formatCode>General</c:formatCode>
                <c:ptCount val="1"/>
                <c:pt idx="0">
                  <c:v>5.3518518518518521</c:v>
                </c:pt>
              </c:numCache>
            </c:numRef>
          </c:val>
          <c:extLst>
            <c:ext xmlns:c16="http://schemas.microsoft.com/office/drawing/2014/chart" uri="{C3380CC4-5D6E-409C-BE32-E72D297353CC}">
              <c16:uniqueId val="{00000005-D484-46C3-857C-67EE27EFEA4B}"/>
            </c:ext>
          </c:extLst>
        </c:ser>
        <c:dLbls>
          <c:showLegendKey val="0"/>
          <c:showVal val="0"/>
          <c:showCatName val="0"/>
          <c:showSerName val="0"/>
          <c:showPercent val="0"/>
          <c:showBubbleSize val="0"/>
        </c:dLbls>
        <c:gapWidth val="219"/>
        <c:axId val="1290786223"/>
        <c:axId val="1290786703"/>
      </c:barChart>
      <c:catAx>
        <c:axId val="129078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86703"/>
        <c:crosses val="autoZero"/>
        <c:auto val="1"/>
        <c:lblAlgn val="ctr"/>
        <c:lblOffset val="100"/>
        <c:noMultiLvlLbl val="0"/>
      </c:catAx>
      <c:valAx>
        <c:axId val="129078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8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[SWOT_PESTLE_Startup_Dashboard.xlsx]Pivots!pt1</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Growth Potential by Industry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rgbClr val="5FB4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Pivots!$J$26</c:f>
              <c:strCache>
                <c:ptCount val="1"/>
                <c:pt idx="0">
                  <c:v>Total</c:v>
                </c:pt>
              </c:strCache>
            </c:strRef>
          </c:tx>
          <c:spPr>
            <a:solidFill>
              <a:srgbClr val="5FB49C"/>
            </a:solidFill>
            <a:ln>
              <a:noFill/>
            </a:ln>
            <a:effectLst/>
          </c:spPr>
          <c:invertIfNegative val="0"/>
          <c:cat>
            <c:strRef>
              <c:f>Pivots!$I$27:$I$33</c:f>
              <c:strCache>
                <c:ptCount val="6"/>
                <c:pt idx="0">
                  <c:v>AgriTech</c:v>
                </c:pt>
                <c:pt idx="1">
                  <c:v>CleanTech</c:v>
                </c:pt>
                <c:pt idx="2">
                  <c:v>EdTech</c:v>
                </c:pt>
                <c:pt idx="3">
                  <c:v>FinTech</c:v>
                </c:pt>
                <c:pt idx="4">
                  <c:v>HealthTech</c:v>
                </c:pt>
                <c:pt idx="5">
                  <c:v>Logistics</c:v>
                </c:pt>
              </c:strCache>
            </c:strRef>
          </c:cat>
          <c:val>
            <c:numRef>
              <c:f>Pivots!$J$27:$J$33</c:f>
              <c:numCache>
                <c:formatCode>General</c:formatCode>
                <c:ptCount val="6"/>
                <c:pt idx="0">
                  <c:v>65.650000000000006</c:v>
                </c:pt>
                <c:pt idx="1">
                  <c:v>69.5</c:v>
                </c:pt>
                <c:pt idx="2">
                  <c:v>61.1875</c:v>
                </c:pt>
                <c:pt idx="3">
                  <c:v>75.86666666666666</c:v>
                </c:pt>
                <c:pt idx="4">
                  <c:v>71.94736842105263</c:v>
                </c:pt>
                <c:pt idx="5">
                  <c:v>62.666666666666664</c:v>
                </c:pt>
              </c:numCache>
            </c:numRef>
          </c:val>
          <c:extLst>
            <c:ext xmlns:c16="http://schemas.microsoft.com/office/drawing/2014/chart" uri="{C3380CC4-5D6E-409C-BE32-E72D297353CC}">
              <c16:uniqueId val="{00000000-6436-40EB-B211-541AE5D4B406}"/>
            </c:ext>
          </c:extLst>
        </c:ser>
        <c:dLbls>
          <c:showLegendKey val="0"/>
          <c:showVal val="0"/>
          <c:showCatName val="0"/>
          <c:showSerName val="0"/>
          <c:showPercent val="0"/>
          <c:showBubbleSize val="0"/>
        </c:dLbls>
        <c:gapWidth val="219"/>
        <c:axId val="1414375663"/>
        <c:axId val="1414367023"/>
      </c:barChart>
      <c:catAx>
        <c:axId val="141437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367023"/>
        <c:crosses val="autoZero"/>
        <c:auto val="1"/>
        <c:lblAlgn val="ctr"/>
        <c:lblOffset val="100"/>
        <c:noMultiLvlLbl val="0"/>
      </c:catAx>
      <c:valAx>
        <c:axId val="141436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37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[SWOT_PESTLE_Startup_Dashboard.xlsx]Pivots!pt2</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Risk-Level Distribution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F3A5F"/>
          </a:solidFill>
          <a:ln w="19050">
            <a:solidFill>
              <a:schemeClr val="lt1"/>
            </a:solidFill>
          </a:ln>
          <a:effectLst/>
        </c:spPr>
      </c:pivotFmt>
      <c:pivotFmt>
        <c:idx val="2"/>
        <c:spPr>
          <a:solidFill>
            <a:srgbClr val="2E86AB"/>
          </a:solidFill>
          <a:ln w="19050">
            <a:solidFill>
              <a:schemeClr val="lt1"/>
            </a:solidFill>
          </a:ln>
          <a:effectLst/>
        </c:spPr>
      </c:pivotFmt>
      <c:pivotFmt>
        <c:idx val="3"/>
        <c:spPr>
          <a:solidFill>
            <a:srgbClr val="5FB49C"/>
          </a:solidFill>
          <a:ln w="19050">
            <a:solidFill>
              <a:schemeClr val="lt1"/>
            </a:solidFill>
          </a:ln>
          <a:effectLst/>
        </c:spPr>
      </c:pivotFmt>
    </c:pivotFmts>
    <c:plotArea>
      <c:layout/>
      <c:doughnutChart>
        <c:varyColors val="1"/>
        <c:ser>
          <c:idx val="0"/>
          <c:order val="0"/>
          <c:tx>
            <c:strRef>
              <c:f>Pivots!$J$51</c:f>
              <c:strCache>
                <c:ptCount val="1"/>
                <c:pt idx="0">
                  <c:v>Total</c:v>
                </c:pt>
              </c:strCache>
            </c:strRef>
          </c:tx>
          <c:dPt>
            <c:idx val="0"/>
            <c:bubble3D val="0"/>
            <c:spPr>
              <a:solidFill>
                <a:srgbClr val="1F3A5F"/>
              </a:solidFill>
              <a:ln w="19050">
                <a:solidFill>
                  <a:schemeClr val="lt1"/>
                </a:solidFill>
              </a:ln>
              <a:effectLst/>
            </c:spPr>
            <c:extLst>
              <c:ext xmlns:c16="http://schemas.microsoft.com/office/drawing/2014/chart" uri="{C3380CC4-5D6E-409C-BE32-E72D297353CC}">
                <c16:uniqueId val="{00000001-A13C-4F55-8A8B-2F412D2F1632}"/>
              </c:ext>
            </c:extLst>
          </c:dPt>
          <c:dPt>
            <c:idx val="1"/>
            <c:bubble3D val="0"/>
            <c:spPr>
              <a:solidFill>
                <a:srgbClr val="2E86AB"/>
              </a:solidFill>
              <a:ln w="19050">
                <a:solidFill>
                  <a:schemeClr val="lt1"/>
                </a:solidFill>
              </a:ln>
              <a:effectLst/>
            </c:spPr>
            <c:extLst>
              <c:ext xmlns:c16="http://schemas.microsoft.com/office/drawing/2014/chart" uri="{C3380CC4-5D6E-409C-BE32-E72D297353CC}">
                <c16:uniqueId val="{00000002-A13C-4F55-8A8B-2F412D2F1632}"/>
              </c:ext>
            </c:extLst>
          </c:dPt>
          <c:dPt>
            <c:idx val="2"/>
            <c:bubble3D val="0"/>
            <c:spPr>
              <a:solidFill>
                <a:srgbClr val="5FB49C"/>
              </a:solidFill>
              <a:ln w="19050">
                <a:solidFill>
                  <a:schemeClr val="lt1"/>
                </a:solidFill>
              </a:ln>
              <a:effectLst/>
            </c:spPr>
            <c:extLst>
              <c:ext xmlns:c16="http://schemas.microsoft.com/office/drawing/2014/chart" uri="{C3380CC4-5D6E-409C-BE32-E72D297353CC}">
                <c16:uniqueId val="{00000003-A13C-4F55-8A8B-2F412D2F1632}"/>
              </c:ext>
            </c:extLst>
          </c:dPt>
          <c:cat>
            <c:strRef>
              <c:f>Pivots!$I$52:$I$55</c:f>
              <c:strCache>
                <c:ptCount val="3"/>
                <c:pt idx="0">
                  <c:v>High</c:v>
                </c:pt>
                <c:pt idx="1">
                  <c:v>Low</c:v>
                </c:pt>
                <c:pt idx="2">
                  <c:v>Medium</c:v>
                </c:pt>
              </c:strCache>
            </c:strRef>
          </c:cat>
          <c:val>
            <c:numRef>
              <c:f>Pivots!$J$52:$J$55</c:f>
              <c:numCache>
                <c:formatCode>General</c:formatCode>
                <c:ptCount val="3"/>
                <c:pt idx="0">
                  <c:v>46</c:v>
                </c:pt>
                <c:pt idx="1">
                  <c:v>23</c:v>
                </c:pt>
                <c:pt idx="2">
                  <c:v>39</c:v>
                </c:pt>
              </c:numCache>
            </c:numRef>
          </c:val>
          <c:extLst>
            <c:ext xmlns:c16="http://schemas.microsoft.com/office/drawing/2014/chart" uri="{C3380CC4-5D6E-409C-BE32-E72D297353CC}">
              <c16:uniqueId val="{00000000-A13C-4F55-8A8B-2F412D2F163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[SWOT_PESTLE_Startup_Dashboard.xlsx]Pivots!pt3</c:name>
    <c:fmtId val="0"/>
  </c:pivotSource>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IN"/>
              <a:t>Competitive Intensity by Industry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ivotFmts>
      <c:pivotFmt>
        <c:idx val="0"/>
        <c:spPr>
          <a:solidFill>
            <a:srgbClr val="B443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Pivots!$J$76</c:f>
              <c:strCache>
                <c:ptCount val="1"/>
                <c:pt idx="0">
                  <c:v>Total</c:v>
                </c:pt>
              </c:strCache>
            </c:strRef>
          </c:tx>
          <c:spPr>
            <a:solidFill>
              <a:srgbClr val="B4436C"/>
            </a:solidFill>
            <a:ln>
              <a:noFill/>
            </a:ln>
            <a:effectLst/>
          </c:spPr>
          <c:invertIfNegative val="0"/>
          <c:cat>
            <c:strRef>
              <c:f>Pivots!$I$77:$I$83</c:f>
              <c:strCache>
                <c:ptCount val="6"/>
                <c:pt idx="0">
                  <c:v>AgriTech</c:v>
                </c:pt>
                <c:pt idx="1">
                  <c:v>CleanTech</c:v>
                </c:pt>
                <c:pt idx="2">
                  <c:v>EdTech</c:v>
                </c:pt>
                <c:pt idx="3">
                  <c:v>FinTech</c:v>
                </c:pt>
                <c:pt idx="4">
                  <c:v>HealthTech</c:v>
                </c:pt>
                <c:pt idx="5">
                  <c:v>Logistics</c:v>
                </c:pt>
              </c:strCache>
            </c:strRef>
          </c:cat>
          <c:val>
            <c:numRef>
              <c:f>Pivots!$J$77:$J$83</c:f>
              <c:numCache>
                <c:formatCode>General</c:formatCode>
                <c:ptCount val="6"/>
                <c:pt idx="0">
                  <c:v>6.75</c:v>
                </c:pt>
                <c:pt idx="1">
                  <c:v>7.05</c:v>
                </c:pt>
                <c:pt idx="2">
                  <c:v>6.5</c:v>
                </c:pt>
                <c:pt idx="3">
                  <c:v>7.1333333333333337</c:v>
                </c:pt>
                <c:pt idx="4">
                  <c:v>5.7894736842105265</c:v>
                </c:pt>
                <c:pt idx="5">
                  <c:v>6.833333333333333</c:v>
                </c:pt>
              </c:numCache>
            </c:numRef>
          </c:val>
          <c:extLst>
            <c:ext xmlns:c16="http://schemas.microsoft.com/office/drawing/2014/chart" uri="{C3380CC4-5D6E-409C-BE32-E72D297353CC}">
              <c16:uniqueId val="{00000000-9AA1-4EFD-A5DE-A8AEE703B6C5}"/>
            </c:ext>
          </c:extLst>
        </c:ser>
        <c:dLbls>
          <c:showLegendKey val="0"/>
          <c:showVal val="0"/>
          <c:showCatName val="0"/>
          <c:showSerName val="0"/>
          <c:showPercent val="0"/>
          <c:showBubbleSize val="0"/>
        </c:dLbls>
        <c:gapWidth val="182"/>
        <c:axId val="1414390543"/>
        <c:axId val="1414391023"/>
      </c:barChart>
      <c:catAx>
        <c:axId val="141439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391023"/>
        <c:crosses val="autoZero"/>
        <c:auto val="1"/>
        <c:lblAlgn val="ctr"/>
        <c:lblOffset val="100"/>
        <c:noMultiLvlLbl val="0"/>
      </c:catAx>
      <c:valAx>
        <c:axId val="1414391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39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353332</xdr:rowOff>
    </xdr:from>
    <xdr:to>
      <xdr:col>7</xdr:col>
      <xdr:colOff>444498</xdr:colOff>
      <xdr:row>20</xdr:row>
      <xdr:rowOff>84364</xdr:rowOff>
    </xdr:to>
    <xdr:graphicFrame macro="">
      <xdr:nvGraphicFramePr>
        <xdr:cNvPr id="2" name="Chart 1">
          <a:extLst>
            <a:ext uri="{FF2B5EF4-FFF2-40B4-BE49-F238E27FC236}">
              <a16:creationId xmlns:a16="http://schemas.microsoft.com/office/drawing/2014/main" id="{1908C61A-E5D4-A5AA-6859-D50BFE597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420461</xdr:colOff>
      <xdr:row>5</xdr:row>
      <xdr:rowOff>6350</xdr:rowOff>
    </xdr:from>
    <xdr:to>
      <xdr:col>15</xdr:col>
      <xdr:colOff>55336</xdr:colOff>
      <xdr:row>20</xdr:row>
      <xdr:rowOff>91168</xdr:rowOff>
    </xdr:to>
    <xdr:graphicFrame macro="">
      <xdr:nvGraphicFramePr>
        <xdr:cNvPr id="3" name="Chart 2">
          <a:extLst>
            <a:ext uri="{FF2B5EF4-FFF2-40B4-BE49-F238E27FC236}">
              <a16:creationId xmlns:a16="http://schemas.microsoft.com/office/drawing/2014/main" id="{2D48BF6E-1B5A-910E-8A7F-D55D59FDC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74387</xdr:rowOff>
    </xdr:from>
    <xdr:to>
      <xdr:col>7</xdr:col>
      <xdr:colOff>444498</xdr:colOff>
      <xdr:row>35</xdr:row>
      <xdr:rowOff>77561</xdr:rowOff>
    </xdr:to>
    <xdr:graphicFrame macro="">
      <xdr:nvGraphicFramePr>
        <xdr:cNvPr id="4" name="Chart 3">
          <a:extLst>
            <a:ext uri="{FF2B5EF4-FFF2-40B4-BE49-F238E27FC236}">
              <a16:creationId xmlns:a16="http://schemas.microsoft.com/office/drawing/2014/main" id="{AD77986B-761E-B186-30AA-37163CE9C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427264</xdr:colOff>
      <xdr:row>20</xdr:row>
      <xdr:rowOff>74386</xdr:rowOff>
    </xdr:from>
    <xdr:to>
      <xdr:col>15</xdr:col>
      <xdr:colOff>62139</xdr:colOff>
      <xdr:row>35</xdr:row>
      <xdr:rowOff>77560</xdr:rowOff>
    </xdr:to>
    <xdr:graphicFrame macro="">
      <xdr:nvGraphicFramePr>
        <xdr:cNvPr id="5" name="Chart 4">
          <a:extLst>
            <a:ext uri="{FF2B5EF4-FFF2-40B4-BE49-F238E27FC236}">
              <a16:creationId xmlns:a16="http://schemas.microsoft.com/office/drawing/2014/main" id="{6BE89339-F3B5-F266-29FF-5FD82EC96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53068</xdr:colOff>
      <xdr:row>21</xdr:row>
      <xdr:rowOff>28133</xdr:rowOff>
    </xdr:from>
    <xdr:to>
      <xdr:col>17</xdr:col>
      <xdr:colOff>591911</xdr:colOff>
      <xdr:row>35</xdr:row>
      <xdr:rowOff>91572</xdr:rowOff>
    </xdr:to>
    <mc:AlternateContent xmlns:mc="http://schemas.openxmlformats.org/markup-compatibility/2006">
      <mc:Choice xmlns:a14="http://schemas.microsoft.com/office/drawing/2010/main" Requires="a14">
        <xdr:graphicFrame macro="">
          <xdr:nvGraphicFramePr>
            <xdr:cNvPr id="6" name="Industry">
              <a:extLst>
                <a:ext uri="{FF2B5EF4-FFF2-40B4-BE49-F238E27FC236}">
                  <a16:creationId xmlns:a16="http://schemas.microsoft.com/office/drawing/2014/main" id="{E7E0EF36-9EE7-4314-6DB5-778DE9FDEBD5}"/>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0306450" y="4067854"/>
              <a:ext cx="1838726" cy="2573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50667</xdr:colOff>
      <xdr:row>12</xdr:row>
      <xdr:rowOff>162602</xdr:rowOff>
    </xdr:from>
    <xdr:to>
      <xdr:col>17</xdr:col>
      <xdr:colOff>589510</xdr:colOff>
      <xdr:row>19</xdr:row>
      <xdr:rowOff>117660</xdr:rowOff>
    </xdr:to>
    <mc:AlternateContent xmlns:mc="http://schemas.openxmlformats.org/markup-compatibility/2006">
      <mc:Choice xmlns:a14="http://schemas.microsoft.com/office/drawing/2010/main" Requires="a14">
        <xdr:graphicFrame macro="">
          <xdr:nvGraphicFramePr>
            <xdr:cNvPr id="7" name="Risk Level">
              <a:extLst>
                <a:ext uri="{FF2B5EF4-FFF2-40B4-BE49-F238E27FC236}">
                  <a16:creationId xmlns:a16="http://schemas.microsoft.com/office/drawing/2014/main" id="{845E341A-2EBC-AE08-DCFD-581C7F5B6B11}"/>
                </a:ext>
              </a:extLst>
            </xdr:cNvPr>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dr:sp macro="" textlink="">
          <xdr:nvSpPr>
            <xdr:cNvPr id="0" name=""/>
            <xdr:cNvSpPr>
              <a:spLocks noTextEdit="1"/>
            </xdr:cNvSpPr>
          </xdr:nvSpPr>
          <xdr:spPr>
            <a:xfrm>
              <a:off x="10304049" y="2588676"/>
              <a:ext cx="1838726" cy="1210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51068</xdr:colOff>
      <xdr:row>2</xdr:row>
      <xdr:rowOff>33336</xdr:rowOff>
    </xdr:from>
    <xdr:to>
      <xdr:col>17</xdr:col>
      <xdr:colOff>589911</xdr:colOff>
      <xdr:row>11</xdr:row>
      <xdr:rowOff>16808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960F03B-25EE-F35D-ADF7-82EED2BA97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04450" y="537601"/>
              <a:ext cx="1838726" cy="1725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35</xdr:row>
      <xdr:rowOff>63219</xdr:rowOff>
    </xdr:from>
    <xdr:to>
      <xdr:col>17</xdr:col>
      <xdr:colOff>558800</xdr:colOff>
      <xdr:row>43</xdr:row>
      <xdr:rowOff>12419</xdr:rowOff>
    </xdr:to>
    <xdr:sp macro="" textlink="">
      <xdr:nvSpPr>
        <xdr:cNvPr id="9" name="TextBox 8">
          <a:extLst>
            <a:ext uri="{FF2B5EF4-FFF2-40B4-BE49-F238E27FC236}">
              <a16:creationId xmlns:a16="http://schemas.microsoft.com/office/drawing/2014/main" id="{7E009E39-8EBD-A498-D9CE-7D2F9A68BD7A}"/>
            </a:ext>
          </a:extLst>
        </xdr:cNvPr>
        <xdr:cNvSpPr txBox="1"/>
      </xdr:nvSpPr>
      <xdr:spPr>
        <a:xfrm>
          <a:off x="0" y="6613058"/>
          <a:ext cx="12112065" cy="1383553"/>
        </a:xfrm>
        <a:prstGeom prst="rect">
          <a:avLst/>
        </a:prstGeom>
        <a:solidFill>
          <a:srgbClr val="FFFFFF"/>
        </a:solidFill>
        <a:ln w="9525" cmpd="sng">
          <a:solidFill>
            <a:srgbClr val="E3E7EC"/>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IN" sz="1000">
              <a:solidFill>
                <a:srgbClr val="37414F"/>
              </a:solidFill>
            </a:rPr>
            <a:t>Recommendations:  • Prioritise high-growth, low-competition industries.   • Leverage the strongest macro (PESTLE) tailwinds.   • Mitigate funding &amp; regulatory risks early.   • Back ideas with strong tech and clear differentiation.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shey Jain" refreshedDate="46192.591012268516" createdVersion="8" refreshedVersion="8" minRefreshableVersion="3" recordCount="108" xr:uid="{216031D6-F947-42E2-8419-B561F28ACA95}">
  <cacheSource type="worksheet">
    <worksheetSource name="tblStartup"/>
  </cacheSource>
  <cacheFields count="26">
    <cacheField name="Startup ID" numFmtId="0">
      <sharedItems/>
    </cacheField>
    <cacheField name="Startup Name" numFmtId="0">
      <sharedItems/>
    </cacheField>
    <cacheField name="Industry" numFmtId="0">
      <sharedItems count="6">
        <s v="AgriTech"/>
        <s v="CleanTech"/>
        <s v="HealthTech"/>
        <s v="Logistics"/>
        <s v="FinTech"/>
        <s v="EdTech"/>
      </sharedItems>
    </cacheField>
    <cacheField name="Product/Service" numFmtId="0">
      <sharedItems/>
    </cacheField>
    <cacheField name="Target Customer Segment" numFmtId="0">
      <sharedItems/>
    </cacheField>
    <cacheField name="Region" numFmtId="0">
      <sharedItems count="5">
        <s v="North"/>
        <s v="West"/>
        <s v="South"/>
        <s v="Pan-India"/>
        <s v="East"/>
      </sharedItems>
    </cacheField>
    <cacheField name="Market Size Estimate" numFmtId="0">
      <sharedItems containsSemiMixedTypes="0" containsString="0" containsNumber="1" containsInteger="1" minValue="1867537050" maxValue="49061642839"/>
    </cacheField>
    <cacheField name="Startup Strength" numFmtId="0">
      <sharedItems/>
    </cacheField>
    <cacheField name="Startup Weakness" numFmtId="0">
      <sharedItems/>
    </cacheField>
    <cacheField name="Market Opportunity" numFmtId="0">
      <sharedItems/>
    </cacheField>
    <cacheField name="Market Threat" numFmtId="0">
      <sharedItems/>
    </cacheField>
    <cacheField name="Political Impact Score" numFmtId="0">
      <sharedItems containsSemiMixedTypes="0" containsString="0" containsNumber="1" containsInteger="1" minValue="2" maxValue="9"/>
    </cacheField>
    <cacheField name="Economic Impact Score" numFmtId="0">
      <sharedItems containsSemiMixedTypes="0" containsString="0" containsNumber="1" containsInteger="1" minValue="2" maxValue="9"/>
    </cacheField>
    <cacheField name="Social Impact Score" numFmtId="0">
      <sharedItems containsSemiMixedTypes="0" containsString="0" containsNumber="1" containsInteger="1" minValue="2" maxValue="9"/>
    </cacheField>
    <cacheField name="Technological Impact Score" numFmtId="0">
      <sharedItems containsSemiMixedTypes="0" containsString="0" containsNumber="1" containsInteger="1" minValue="3" maxValue="10"/>
    </cacheField>
    <cacheField name="Legal Impact Score" numFmtId="0">
      <sharedItems containsSemiMixedTypes="0" containsString="0" containsNumber="1" containsInteger="1" minValue="2" maxValue="9"/>
    </cacheField>
    <cacheField name="Environmental Impact Score" numFmtId="0">
      <sharedItems containsSemiMixedTypes="0" containsString="0" containsNumber="1" containsInteger="1" minValue="2" maxValue="9"/>
    </cacheField>
    <cacheField name="Competitive Intensity Score" numFmtId="0">
      <sharedItems containsSemiMixedTypes="0" containsString="0" containsNumber="1" containsInteger="1" minValue="3" maxValue="10"/>
    </cacheField>
    <cacheField name="Risk Level" numFmtId="0">
      <sharedItems count="3">
        <s v="Medium"/>
        <s v="High"/>
        <s v="Low"/>
      </sharedItems>
    </cacheField>
    <cacheField name="Growth Potential Score" numFmtId="0">
      <sharedItems containsSemiMixedTypes="0" containsString="0" containsNumber="1" containsInteger="1" minValue="36" maxValue="95"/>
    </cacheField>
    <cacheField name="Macro" numFmtId="0">
      <sharedItems containsSemiMixedTypes="0" containsString="0" containsNumber="1" minValue="2.5" maxValue="8.3333333333333339"/>
    </cacheField>
    <cacheField name="Opportunity Score" numFmtId="0">
      <sharedItems containsSemiMixedTypes="0" containsString="0" containsNumber="1" minValue="41" maxValue="79.166666666666657"/>
    </cacheField>
    <cacheField name="Viability" numFmtId="0">
      <sharedItems containsSemiMixedTypes="0" containsString="0" containsNumber="1" minValue="33.299999999999997" maxValue="73.550000000000011"/>
    </cacheField>
    <cacheField name="Investment Score" numFmtId="0">
      <sharedItems containsSemiMixedTypes="0" containsString="0" containsNumber="1" minValue="31.25" maxValue="78.375"/>
    </cacheField>
    <cacheField name="Risk High" numFmtId="0">
      <sharedItems containsSemiMixedTypes="0" containsString="0" containsNumber="1" containsInteger="1" minValue="0" maxValue="1"/>
    </cacheField>
    <cacheField name="Group" numFmtId="0">
      <sharedItems count="1">
        <s v="Total"/>
      </sharedItems>
    </cacheField>
  </cacheFields>
  <extLst>
    <ext xmlns:x14="http://schemas.microsoft.com/office/spreadsheetml/2009/9/main" uri="{725AE2AE-9491-48be-B2B4-4EB974FC3084}">
      <x14:pivotCacheDefinition pivotCacheId="2041407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ST1001"/>
    <s v="CropCloud"/>
    <x v="0"/>
    <s v="Mobile Platform"/>
    <s v="Students"/>
    <x v="0"/>
    <n v="34241396297"/>
    <s v="Innovative Technology"/>
    <s v="Small Team"/>
    <s v="Untapped Segments"/>
    <s v="Tech Disruption"/>
    <n v="3"/>
    <n v="2"/>
    <n v="9"/>
    <n v="4"/>
    <n v="2"/>
    <n v="4"/>
    <n v="5"/>
    <x v="0"/>
    <n v="46"/>
    <n v="4"/>
    <n v="43"/>
    <n v="44.900000000000006"/>
    <n v="46.25"/>
    <n v="0"/>
    <x v="0"/>
  </r>
  <r>
    <s v="ST1002"/>
    <s v="GreenFlow"/>
    <x v="1"/>
    <s v="SaaS Tool"/>
    <s v="SMBs"/>
    <x v="1"/>
    <n v="37359321260"/>
    <s v="Strategic Partnerships"/>
    <s v="Limited Funding"/>
    <s v="Government Incentives"/>
    <s v="Economic Slowdown"/>
    <n v="5"/>
    <n v="3"/>
    <n v="2"/>
    <n v="7"/>
    <n v="3"/>
    <n v="8"/>
    <n v="10"/>
    <x v="1"/>
    <n v="81"/>
    <n v="4.666666666666667"/>
    <n v="63.833333333333336"/>
    <n v="48.733333333333334"/>
    <n v="48.666666666666671"/>
    <n v="1"/>
    <x v="0"/>
  </r>
  <r>
    <s v="ST1003"/>
    <s v="SolarGrid"/>
    <x v="1"/>
    <s v="Advisory Service"/>
    <s v="Enterprises"/>
    <x v="0"/>
    <n v="25610764843"/>
    <s v="Strong Founding Team"/>
    <s v="Regulatory Exposure"/>
    <s v="Government Incentives"/>
    <s v="Intense Competition"/>
    <n v="7"/>
    <n v="7"/>
    <n v="6"/>
    <n v="6"/>
    <n v="8"/>
    <n v="5"/>
    <n v="10"/>
    <x v="1"/>
    <n v="49"/>
    <n v="6.5"/>
    <n v="57"/>
    <n v="42.35"/>
    <n v="35.875"/>
    <n v="1"/>
    <x v="0"/>
  </r>
  <r>
    <s v="ST1004"/>
    <s v="CareLoop"/>
    <x v="2"/>
    <s v="Advisory Service"/>
    <s v="SMBs"/>
    <x v="2"/>
    <n v="26376201611"/>
    <s v="Strong Founding Team"/>
    <s v="Small Team"/>
    <s v="Growing Market Demand"/>
    <s v="Tech Disruption"/>
    <n v="2"/>
    <n v="9"/>
    <n v="8"/>
    <n v="4"/>
    <n v="3"/>
    <n v="7"/>
    <n v="3"/>
    <x v="2"/>
    <n v="92"/>
    <n v="5.5"/>
    <n v="73.5"/>
    <n v="73.550000000000011"/>
    <n v="78.375"/>
    <n v="0"/>
    <x v="0"/>
  </r>
  <r>
    <s v="ST1005"/>
    <s v="RouteIQ"/>
    <x v="3"/>
    <s v="Advisory Service"/>
    <s v="SMBs"/>
    <x v="3"/>
    <n v="22133368782"/>
    <s v="Strong IP"/>
    <s v="Low Brand Awareness"/>
    <s v="Digital Adoption"/>
    <s v="Intense Competition"/>
    <n v="4"/>
    <n v="3"/>
    <n v="3"/>
    <n v="7"/>
    <n v="8"/>
    <n v="3"/>
    <n v="7"/>
    <x v="1"/>
    <n v="42"/>
    <n v="4.666666666666667"/>
    <n v="44.333333333333336"/>
    <n v="40.63333333333334"/>
    <n v="38.916666666666671"/>
    <n v="1"/>
    <x v="0"/>
  </r>
  <r>
    <s v="ST1006"/>
    <s v="PayPlus"/>
    <x v="4"/>
    <s v="SaaS Tool"/>
    <s v="Enterprises"/>
    <x v="2"/>
    <n v="12945157155"/>
    <s v="First-Mover Advantage"/>
    <s v="Regulatory Exposure"/>
    <s v="Untapped Segments"/>
    <s v="Tech Disruption"/>
    <n v="3"/>
    <n v="3"/>
    <n v="3"/>
    <n v="5"/>
    <n v="8"/>
    <n v="4"/>
    <n v="9"/>
    <x v="1"/>
    <n v="83"/>
    <n v="4.333333333333333"/>
    <n v="63.166666666666664"/>
    <n v="50.866666666666667"/>
    <n v="52.333333333333329"/>
    <n v="1"/>
    <x v="0"/>
  </r>
  <r>
    <s v="ST1007"/>
    <s v="TutorHub"/>
    <x v="5"/>
    <s v="Mobile Platform"/>
    <s v="Gig Workers"/>
    <x v="3"/>
    <n v="23579805395"/>
    <s v="Strong IP"/>
    <s v="Regulatory Exposure"/>
    <s v="Digital Adoption"/>
    <s v="Tech Disruption"/>
    <n v="8"/>
    <n v="5"/>
    <n v="9"/>
    <n v="9"/>
    <n v="6"/>
    <n v="7"/>
    <n v="4"/>
    <x v="2"/>
    <n v="62"/>
    <n v="7.333333333333333"/>
    <n v="67.666666666666657"/>
    <n v="65.466666666666669"/>
    <n v="63.333333333333329"/>
    <n v="0"/>
    <x v="0"/>
  </r>
  <r>
    <s v="ST1008"/>
    <s v="WellTrack"/>
    <x v="2"/>
    <s v="Mobile Platform"/>
    <s v="Rural Consumers"/>
    <x v="1"/>
    <n v="41717850244"/>
    <s v="Low-Cost Model"/>
    <s v="High Burn Rate"/>
    <s v="Growing Market Demand"/>
    <s v="Regulatory Changes"/>
    <n v="2"/>
    <n v="9"/>
    <n v="2"/>
    <n v="6"/>
    <n v="6"/>
    <n v="2"/>
    <n v="4"/>
    <x v="0"/>
    <n v="88"/>
    <n v="4.5"/>
    <n v="66.5"/>
    <n v="65.95"/>
    <n v="71.375"/>
    <n v="0"/>
    <x v="0"/>
  </r>
  <r>
    <s v="ST1009"/>
    <s v="SolarGrid"/>
    <x v="1"/>
    <s v="SaaS Tool"/>
    <s v="Rural Consumers"/>
    <x v="2"/>
    <n v="5842881028"/>
    <s v="Strong Founding Team"/>
    <s v="Small Team"/>
    <s v="Growing Market Demand"/>
    <s v="Intense Competition"/>
    <n v="9"/>
    <n v="8"/>
    <n v="9"/>
    <n v="6"/>
    <n v="2"/>
    <n v="2"/>
    <n v="10"/>
    <x v="1"/>
    <n v="79"/>
    <n v="6"/>
    <n v="69.5"/>
    <n v="52.6"/>
    <n v="50"/>
    <n v="1"/>
    <x v="0"/>
  </r>
  <r>
    <s v="ST1010"/>
    <s v="TutorHub"/>
    <x v="5"/>
    <s v="SaaS Tool"/>
    <s v="Urban Millennials"/>
    <x v="1"/>
    <n v="40673206266"/>
    <s v="First-Mover Advantage"/>
    <s v="Limited Funding"/>
    <s v="Government Incentives"/>
    <s v="Regulatory Changes"/>
    <n v="9"/>
    <n v="6"/>
    <n v="3"/>
    <n v="10"/>
    <n v="7"/>
    <n v="7"/>
    <n v="9"/>
    <x v="1"/>
    <n v="64"/>
    <n v="7"/>
    <n v="67"/>
    <n v="52.6"/>
    <n v="47.5"/>
    <n v="1"/>
    <x v="0"/>
  </r>
  <r>
    <s v="ST1011"/>
    <s v="CargoNest"/>
    <x v="3"/>
    <s v="IoT Device"/>
    <s v="Students"/>
    <x v="4"/>
    <n v="20648765466"/>
    <s v="First-Mover Advantage"/>
    <s v="Low Brand Awareness"/>
    <s v="Digital Adoption"/>
    <s v="Changing Customer Behaviour"/>
    <n v="4"/>
    <n v="7"/>
    <n v="9"/>
    <n v="8"/>
    <n v="4"/>
    <n v="8"/>
    <n v="10"/>
    <x v="1"/>
    <n v="45"/>
    <n v="6.666666666666667"/>
    <n v="55.833333333333336"/>
    <n v="41.333333333333329"/>
    <n v="34.166666666666664"/>
    <n v="1"/>
    <x v="0"/>
  </r>
  <r>
    <s v="ST1012"/>
    <s v="LearnX"/>
    <x v="5"/>
    <s v="Advisory Service"/>
    <s v="Students"/>
    <x v="4"/>
    <n v="36674202601"/>
    <s v="First-Mover Advantage"/>
    <s v="High Burn Rate"/>
    <s v="Growing Market Demand"/>
    <s v="Regulatory Changes"/>
    <n v="8"/>
    <n v="6"/>
    <n v="2"/>
    <n v="5"/>
    <n v="9"/>
    <n v="5"/>
    <n v="7"/>
    <x v="0"/>
    <n v="72"/>
    <n v="5.833333333333333"/>
    <n v="65.166666666666657"/>
    <n v="56.716666666666669"/>
    <n v="55.958333333333329"/>
    <n v="0"/>
    <x v="0"/>
  </r>
  <r>
    <s v="ST1013"/>
    <s v="WealthNest"/>
    <x v="4"/>
    <s v="SaaS Tool"/>
    <s v="Rural Consumers"/>
    <x v="2"/>
    <n v="31204668846"/>
    <s v="Strong Founding Team"/>
    <s v="High Burn Rate"/>
    <s v="Government Incentives"/>
    <s v="Regulatory Changes"/>
    <n v="4"/>
    <n v="3"/>
    <n v="4"/>
    <n v="9"/>
    <n v="6"/>
    <n v="2"/>
    <n v="9"/>
    <x v="1"/>
    <n v="94"/>
    <n v="4.666666666666667"/>
    <n v="70.333333333333343"/>
    <n v="56.433333333333337"/>
    <n v="58.416666666666671"/>
    <n v="1"/>
    <x v="0"/>
  </r>
  <r>
    <s v="ST1014"/>
    <s v="CargoNest"/>
    <x v="3"/>
    <s v="Marketplace"/>
    <s v="Students"/>
    <x v="2"/>
    <n v="27110284461"/>
    <s v="Strong IP"/>
    <s v="Small Team"/>
    <s v="Digital Adoption"/>
    <s v="Changing Customer Behaviour"/>
    <n v="8"/>
    <n v="4"/>
    <n v="7"/>
    <n v="7"/>
    <n v="8"/>
    <n v="8"/>
    <n v="7"/>
    <x v="0"/>
    <n v="40"/>
    <n v="7"/>
    <n v="55"/>
    <n v="48"/>
    <n v="42"/>
    <n v="0"/>
    <x v="0"/>
  </r>
  <r>
    <s v="ST1015"/>
    <s v="GreenFlow"/>
    <x v="1"/>
    <s v="Marketplace"/>
    <s v="Gig Workers"/>
    <x v="4"/>
    <n v="23893193992"/>
    <s v="Innovative Technology"/>
    <s v="Unproven Model"/>
    <s v="Untapped Segments"/>
    <s v="Changing Customer Behaviour"/>
    <n v="8"/>
    <n v="3"/>
    <n v="4"/>
    <n v="4"/>
    <n v="7"/>
    <n v="6"/>
    <n v="4"/>
    <x v="2"/>
    <n v="93"/>
    <n v="5.333333333333333"/>
    <n v="73.166666666666657"/>
    <n v="70.866666666666674"/>
    <n v="75.333333333333343"/>
    <n v="0"/>
    <x v="0"/>
  </r>
  <r>
    <s v="ST1016"/>
    <s v="EcoCharge"/>
    <x v="1"/>
    <s v="Subscription App"/>
    <s v="Gig Workers"/>
    <x v="2"/>
    <n v="36948910710"/>
    <s v="Low-Cost Model"/>
    <s v="Low Brand Awareness"/>
    <s v="Government Incentives"/>
    <s v="Regulatory Changes"/>
    <n v="2"/>
    <n v="4"/>
    <n v="9"/>
    <n v="9"/>
    <n v="5"/>
    <n v="3"/>
    <n v="4"/>
    <x v="2"/>
    <n v="39"/>
    <n v="5.333333333333333"/>
    <n v="46.166666666666664"/>
    <n v="49.266666666666666"/>
    <n v="48.333333333333329"/>
    <n v="0"/>
    <x v="0"/>
  </r>
  <r>
    <s v="ST1017"/>
    <s v="CareLoop"/>
    <x v="2"/>
    <s v="Mobile Platform"/>
    <s v="Rural Consumers"/>
    <x v="1"/>
    <n v="19625381741"/>
    <s v="Strong IP"/>
    <s v="High Burn Rate"/>
    <s v="Growing Market Demand"/>
    <s v="Tech Disruption"/>
    <n v="7"/>
    <n v="4"/>
    <n v="9"/>
    <n v="10"/>
    <n v="4"/>
    <n v="7"/>
    <n v="6"/>
    <x v="0"/>
    <n v="89"/>
    <n v="6.833333333333333"/>
    <n v="78.666666666666657"/>
    <n v="69.516666666666666"/>
    <n v="69.458333333333329"/>
    <n v="0"/>
    <x v="0"/>
  </r>
  <r>
    <s v="ST1018"/>
    <s v="QuickShip"/>
    <x v="3"/>
    <s v="Marketplace"/>
    <s v="Rural Consumers"/>
    <x v="4"/>
    <n v="16336828840"/>
    <s v="Strong Founding Team"/>
    <s v="Unproven Model"/>
    <s v="Growing Market Demand"/>
    <s v="Economic Slowdown"/>
    <n v="5"/>
    <n v="4"/>
    <n v="2"/>
    <n v="3"/>
    <n v="8"/>
    <n v="3"/>
    <n v="8"/>
    <x v="1"/>
    <n v="57"/>
    <n v="4.166666666666667"/>
    <n v="49.333333333333336"/>
    <n v="42.383333333333333"/>
    <n v="42.291666666666664"/>
    <n v="1"/>
    <x v="0"/>
  </r>
  <r>
    <s v="ST1019"/>
    <s v="FarmIQ"/>
    <x v="0"/>
    <s v="Mobile Platform"/>
    <s v="Enterprises"/>
    <x v="0"/>
    <n v="30606513399"/>
    <s v="First-Mover Advantage"/>
    <s v="Small Team"/>
    <s v="Export Potential"/>
    <s v="Intense Competition"/>
    <n v="9"/>
    <n v="4"/>
    <n v="5"/>
    <n v="9"/>
    <n v="6"/>
    <n v="7"/>
    <n v="9"/>
    <x v="1"/>
    <n v="89"/>
    <n v="6.666666666666667"/>
    <n v="77.833333333333343"/>
    <n v="61.433333333333337"/>
    <n v="59.416666666666671"/>
    <n v="1"/>
    <x v="0"/>
  </r>
  <r>
    <s v="ST1020"/>
    <s v="CropCloud"/>
    <x v="0"/>
    <s v="IoT Device"/>
    <s v="Students"/>
    <x v="3"/>
    <n v="1867537050"/>
    <s v="Strong Founding Team"/>
    <s v="Small Team"/>
    <s v="Growing Market Demand"/>
    <s v="Changing Customer Behaviour"/>
    <n v="4"/>
    <n v="6"/>
    <n v="9"/>
    <n v="9"/>
    <n v="7"/>
    <n v="7"/>
    <n v="5"/>
    <x v="2"/>
    <n v="65"/>
    <n v="7"/>
    <n v="67.5"/>
    <n v="63"/>
    <n v="61"/>
    <n v="0"/>
    <x v="0"/>
  </r>
  <r>
    <s v="ST1021"/>
    <s v="PayPlus"/>
    <x v="4"/>
    <s v="Subscription App"/>
    <s v="Enterprises"/>
    <x v="2"/>
    <n v="23254432515"/>
    <s v="First-Mover Advantage"/>
    <s v="Low Brand Awareness"/>
    <s v="Growing Market Demand"/>
    <s v="Tech Disruption"/>
    <n v="8"/>
    <n v="3"/>
    <n v="2"/>
    <n v="6"/>
    <n v="9"/>
    <n v="8"/>
    <n v="10"/>
    <x v="1"/>
    <n v="95"/>
    <n v="6"/>
    <n v="77.5"/>
    <n v="59"/>
    <n v="58"/>
    <n v="1"/>
    <x v="0"/>
  </r>
  <r>
    <s v="ST1022"/>
    <s v="CareLoop"/>
    <x v="2"/>
    <s v="Mobile Platform"/>
    <s v="Gig Workers"/>
    <x v="3"/>
    <n v="23211642313"/>
    <s v="Innovative Technology"/>
    <s v="Regulatory Exposure"/>
    <s v="Digital Adoption"/>
    <s v="Changing Customer Behaviour"/>
    <n v="8"/>
    <n v="2"/>
    <n v="9"/>
    <n v="10"/>
    <n v="7"/>
    <n v="2"/>
    <n v="5"/>
    <x v="0"/>
    <n v="61"/>
    <n v="6.333333333333333"/>
    <n v="62.166666666666664"/>
    <n v="59.066666666666663"/>
    <n v="57.833333333333329"/>
    <n v="0"/>
    <x v="0"/>
  </r>
  <r>
    <s v="ST1023"/>
    <s v="MediGo"/>
    <x v="2"/>
    <s v="Advisory Service"/>
    <s v="Gig Workers"/>
    <x v="1"/>
    <n v="35459906868"/>
    <s v="Strong IP"/>
    <s v="High Burn Rate"/>
    <s v="Untapped Segments"/>
    <s v="Economic Slowdown"/>
    <n v="9"/>
    <n v="4"/>
    <n v="3"/>
    <n v="7"/>
    <n v="9"/>
    <n v="7"/>
    <n v="5"/>
    <x v="0"/>
    <n v="43"/>
    <n v="6.5"/>
    <n v="54"/>
    <n v="52.45"/>
    <n v="49.125"/>
    <n v="0"/>
    <x v="0"/>
  </r>
  <r>
    <s v="ST1024"/>
    <s v="RouteIQ"/>
    <x v="3"/>
    <s v="Advisory Service"/>
    <s v="Enterprises"/>
    <x v="4"/>
    <n v="9480495007"/>
    <s v="Strategic Partnerships"/>
    <s v="High Burn Rate"/>
    <s v="Export Potential"/>
    <s v="Changing Customer Behaviour"/>
    <n v="4"/>
    <n v="4"/>
    <n v="3"/>
    <n v="6"/>
    <n v="9"/>
    <n v="5"/>
    <n v="10"/>
    <x v="1"/>
    <n v="79"/>
    <n v="5.166666666666667"/>
    <n v="65.333333333333343"/>
    <n v="49.683333333333337"/>
    <n v="48.541666666666671"/>
    <n v="1"/>
    <x v="0"/>
  </r>
  <r>
    <s v="ST1025"/>
    <s v="CargoNest"/>
    <x v="3"/>
    <s v="Advisory Service"/>
    <s v="Students"/>
    <x v="4"/>
    <n v="4448878301"/>
    <s v="Low-Cost Model"/>
    <s v="Unproven Model"/>
    <s v="Partnership Channels"/>
    <s v="Tech Disruption"/>
    <n v="4"/>
    <n v="8"/>
    <n v="7"/>
    <n v="4"/>
    <n v="5"/>
    <n v="5"/>
    <n v="6"/>
    <x v="0"/>
    <n v="54"/>
    <n v="5.5"/>
    <n v="54.5"/>
    <n v="50.85"/>
    <n v="49.625"/>
    <n v="0"/>
    <x v="0"/>
  </r>
  <r>
    <s v="ST1026"/>
    <s v="CrediFy"/>
    <x v="4"/>
    <s v="Subscription App"/>
    <s v="Gig Workers"/>
    <x v="0"/>
    <n v="42836803730"/>
    <s v="Strong Founding Team"/>
    <s v="Unproven Model"/>
    <s v="Government Incentives"/>
    <s v="Changing Customer Behaviour"/>
    <n v="4"/>
    <n v="3"/>
    <n v="2"/>
    <n v="5"/>
    <n v="4"/>
    <n v="6"/>
    <n v="9"/>
    <x v="1"/>
    <n v="42"/>
    <n v="4"/>
    <n v="41"/>
    <n v="33.299999999999997"/>
    <n v="31.25"/>
    <n v="1"/>
    <x v="0"/>
  </r>
  <r>
    <s v="ST1027"/>
    <s v="TutorHub"/>
    <x v="5"/>
    <s v="Marketplace"/>
    <s v="SMBs"/>
    <x v="1"/>
    <n v="11483866427"/>
    <s v="Strong IP"/>
    <s v="Unproven Model"/>
    <s v="Government Incentives"/>
    <s v="Economic Slowdown"/>
    <n v="2"/>
    <n v="4"/>
    <n v="5"/>
    <n v="5"/>
    <n v="7"/>
    <n v="4"/>
    <n v="6"/>
    <x v="0"/>
    <n v="49"/>
    <n v="4.5"/>
    <n v="47"/>
    <n v="45.35"/>
    <n v="45.375"/>
    <n v="0"/>
    <x v="0"/>
  </r>
  <r>
    <s v="ST1028"/>
    <s v="CropCloud"/>
    <x v="0"/>
    <s v="Advisory Service"/>
    <s v="SMBs"/>
    <x v="3"/>
    <n v="9107119820"/>
    <s v="Strategic Partnerships"/>
    <s v="Low Brand Awareness"/>
    <s v="Untapped Segments"/>
    <s v="Funding Crunch"/>
    <n v="3"/>
    <n v="4"/>
    <n v="2"/>
    <n v="7"/>
    <n v="8"/>
    <n v="3"/>
    <n v="5"/>
    <x v="0"/>
    <n v="88"/>
    <n v="4.5"/>
    <n v="66.5"/>
    <n v="63.45"/>
    <n v="68.125"/>
    <n v="0"/>
    <x v="0"/>
  </r>
  <r>
    <s v="ST1029"/>
    <s v="CrediFy"/>
    <x v="4"/>
    <s v="Subscription App"/>
    <s v="Urban Millennials"/>
    <x v="2"/>
    <n v="2273618425"/>
    <s v="Low-Cost Model"/>
    <s v="Unproven Model"/>
    <s v="Untapped Segments"/>
    <s v="Tech Disruption"/>
    <n v="3"/>
    <n v="4"/>
    <n v="5"/>
    <n v="10"/>
    <n v="2"/>
    <n v="4"/>
    <n v="3"/>
    <x v="2"/>
    <n v="77"/>
    <n v="4.666666666666667"/>
    <n v="61.833333333333336"/>
    <n v="64.63333333333334"/>
    <n v="69.416666666666671"/>
    <n v="0"/>
    <x v="0"/>
  </r>
  <r>
    <s v="ST1030"/>
    <s v="SkillBay"/>
    <x v="5"/>
    <s v="Mobile Platform"/>
    <s v="Enterprises"/>
    <x v="0"/>
    <n v="28955234786"/>
    <s v="Strong Founding Team"/>
    <s v="Unproven Model"/>
    <s v="Government Incentives"/>
    <s v="Intense Competition"/>
    <n v="7"/>
    <n v="5"/>
    <n v="5"/>
    <n v="4"/>
    <n v="2"/>
    <n v="4"/>
    <n v="8"/>
    <x v="1"/>
    <n v="67"/>
    <n v="4.5"/>
    <n v="56"/>
    <n v="47.55"/>
    <n v="47.875"/>
    <n v="1"/>
    <x v="0"/>
  </r>
  <r>
    <s v="ST1031"/>
    <s v="SolarGrid"/>
    <x v="1"/>
    <s v="IoT Device"/>
    <s v="Rural Consumers"/>
    <x v="4"/>
    <n v="17664557007"/>
    <s v="First-Mover Advantage"/>
    <s v="High Burn Rate"/>
    <s v="Untapped Segments"/>
    <s v="Economic Slowdown"/>
    <n v="6"/>
    <n v="8"/>
    <n v="2"/>
    <n v="6"/>
    <n v="9"/>
    <n v="8"/>
    <n v="8"/>
    <x v="1"/>
    <n v="64"/>
    <n v="6.5"/>
    <n v="64.5"/>
    <n v="53.35"/>
    <n v="49.875"/>
    <n v="1"/>
    <x v="0"/>
  </r>
  <r>
    <s v="ST1032"/>
    <s v="SolarGrid"/>
    <x v="1"/>
    <s v="Marketplace"/>
    <s v="Rural Consumers"/>
    <x v="0"/>
    <n v="33545760658"/>
    <s v="Strong IP"/>
    <s v="Unproven Model"/>
    <s v="Government Incentives"/>
    <s v="Funding Crunch"/>
    <n v="4"/>
    <n v="4"/>
    <n v="9"/>
    <n v="5"/>
    <n v="7"/>
    <n v="2"/>
    <n v="9"/>
    <x v="1"/>
    <n v="50"/>
    <n v="5.166666666666667"/>
    <n v="50.833333333333336"/>
    <n v="40.583333333333329"/>
    <n v="37.291666666666664"/>
    <n v="1"/>
    <x v="0"/>
  </r>
  <r>
    <s v="ST1033"/>
    <s v="CareLoop"/>
    <x v="2"/>
    <s v="Subscription App"/>
    <s v="Enterprises"/>
    <x v="1"/>
    <n v="39457059226"/>
    <s v="Innovative Technology"/>
    <s v="High Burn Rate"/>
    <s v="Partnership Channels"/>
    <s v="Tech Disruption"/>
    <n v="5"/>
    <n v="8"/>
    <n v="8"/>
    <n v="4"/>
    <n v="4"/>
    <n v="6"/>
    <n v="5"/>
    <x v="0"/>
    <n v="83"/>
    <n v="5.833333333333333"/>
    <n v="70.666666666666657"/>
    <n v="66.116666666666674"/>
    <n v="67.958333333333343"/>
    <n v="0"/>
    <x v="0"/>
  </r>
  <r>
    <s v="ST1034"/>
    <s v="MediGo"/>
    <x v="2"/>
    <s v="Mobile Platform"/>
    <s v="Enterprises"/>
    <x v="3"/>
    <n v="9607404632"/>
    <s v="Innovative Technology"/>
    <s v="Limited Funding"/>
    <s v="Government Incentives"/>
    <s v="Intense Competition"/>
    <n v="9"/>
    <n v="9"/>
    <n v="2"/>
    <n v="10"/>
    <n v="5"/>
    <n v="6"/>
    <n v="3"/>
    <x v="2"/>
    <n v="69"/>
    <n v="6.833333333333333"/>
    <n v="68.666666666666657"/>
    <n v="69.016666666666666"/>
    <n v="69.208333333333329"/>
    <n v="0"/>
    <x v="0"/>
  </r>
  <r>
    <s v="ST1035"/>
    <s v="SolarGrid"/>
    <x v="1"/>
    <s v="IoT Device"/>
    <s v="Gig Workers"/>
    <x v="2"/>
    <n v="23601217760"/>
    <s v="Strategic Partnerships"/>
    <s v="Unproven Model"/>
    <s v="Export Potential"/>
    <s v="Changing Customer Behaviour"/>
    <n v="6"/>
    <n v="6"/>
    <n v="3"/>
    <n v="3"/>
    <n v="5"/>
    <n v="2"/>
    <n v="9"/>
    <x v="1"/>
    <n v="92"/>
    <n v="4.166666666666667"/>
    <n v="66.833333333333343"/>
    <n v="53.88333333333334"/>
    <n v="56.541666666666671"/>
    <n v="1"/>
    <x v="0"/>
  </r>
  <r>
    <s v="ST1036"/>
    <s v="CropCloud"/>
    <x v="0"/>
    <s v="Marketplace"/>
    <s v="Rural Consumers"/>
    <x v="2"/>
    <n v="41189212665"/>
    <s v="Strong Founding Team"/>
    <s v="High Burn Rate"/>
    <s v="Digital Adoption"/>
    <s v="Intense Competition"/>
    <n v="5"/>
    <n v="9"/>
    <n v="5"/>
    <n v="6"/>
    <n v="5"/>
    <n v="3"/>
    <n v="7"/>
    <x v="0"/>
    <n v="82"/>
    <n v="5.5"/>
    <n v="68.5"/>
    <n v="59.550000000000004"/>
    <n v="60.375"/>
    <n v="0"/>
    <x v="0"/>
  </r>
  <r>
    <s v="ST1037"/>
    <s v="EcoCharge"/>
    <x v="1"/>
    <s v="IoT Device"/>
    <s v="Urban Millennials"/>
    <x v="2"/>
    <n v="36642259460"/>
    <s v="Strong Founding Team"/>
    <s v="Low Brand Awareness"/>
    <s v="Digital Adoption"/>
    <s v="Intense Competition"/>
    <n v="4"/>
    <n v="9"/>
    <n v="7"/>
    <n v="9"/>
    <n v="9"/>
    <n v="9"/>
    <n v="7"/>
    <x v="0"/>
    <n v="73"/>
    <n v="7.833333333333333"/>
    <n v="75.666666666666657"/>
    <n v="64.116666666666674"/>
    <n v="59.958333333333336"/>
    <n v="0"/>
    <x v="0"/>
  </r>
  <r>
    <s v="ST1038"/>
    <s v="TutorHub"/>
    <x v="5"/>
    <s v="Mobile Platform"/>
    <s v="Gig Workers"/>
    <x v="4"/>
    <n v="48553527810"/>
    <s v="Innovative Technology"/>
    <s v="Small Team"/>
    <s v="Government Incentives"/>
    <s v="Intense Competition"/>
    <n v="2"/>
    <n v="9"/>
    <n v="4"/>
    <n v="9"/>
    <n v="7"/>
    <n v="3"/>
    <n v="9"/>
    <x v="1"/>
    <n v="44"/>
    <n v="5.666666666666667"/>
    <n v="50.333333333333336"/>
    <n v="39.933333333333337"/>
    <n v="35.166666666666671"/>
    <n v="1"/>
    <x v="0"/>
  </r>
  <r>
    <s v="ST1039"/>
    <s v="GreenFlow"/>
    <x v="1"/>
    <s v="SaaS Tool"/>
    <s v="Enterprises"/>
    <x v="3"/>
    <n v="7605780754"/>
    <s v="Innovative Technology"/>
    <s v="Limited Funding"/>
    <s v="Export Potential"/>
    <s v="Economic Slowdown"/>
    <n v="6"/>
    <n v="9"/>
    <n v="6"/>
    <n v="3"/>
    <n v="5"/>
    <n v="2"/>
    <n v="5"/>
    <x v="0"/>
    <n v="66"/>
    <n v="5.166666666666667"/>
    <n v="58.833333333333336"/>
    <n v="56.983333333333334"/>
    <n v="58.291666666666671"/>
    <n v="0"/>
    <x v="0"/>
  </r>
  <r>
    <s v="ST1040"/>
    <s v="LearnX"/>
    <x v="5"/>
    <s v="SaaS Tool"/>
    <s v="Enterprises"/>
    <x v="2"/>
    <n v="27385209965"/>
    <s v="Low-Cost Model"/>
    <s v="Low Brand Awareness"/>
    <s v="Partnership Channels"/>
    <s v="Changing Customer Behaviour"/>
    <n v="2"/>
    <n v="7"/>
    <n v="6"/>
    <n v="4"/>
    <n v="3"/>
    <n v="7"/>
    <n v="6"/>
    <x v="0"/>
    <n v="72"/>
    <n v="4.833333333333333"/>
    <n v="60.166666666666664"/>
    <n v="55.716666666666669"/>
    <n v="57.458333333333329"/>
    <n v="0"/>
    <x v="0"/>
  </r>
  <r>
    <s v="ST1041"/>
    <s v="CareLoop"/>
    <x v="2"/>
    <s v="Marketplace"/>
    <s v="Rural Consumers"/>
    <x v="1"/>
    <n v="8065697938"/>
    <s v="Strong IP"/>
    <s v="High Burn Rate"/>
    <s v="Untapped Segments"/>
    <s v="Changing Customer Behaviour"/>
    <n v="8"/>
    <n v="6"/>
    <n v="5"/>
    <n v="8"/>
    <n v="2"/>
    <n v="7"/>
    <n v="3"/>
    <x v="2"/>
    <n v="87"/>
    <n v="6"/>
    <n v="73.5"/>
    <n v="73.300000000000011"/>
    <n v="76.75"/>
    <n v="0"/>
    <x v="0"/>
  </r>
  <r>
    <s v="ST1042"/>
    <s v="FarmIQ"/>
    <x v="0"/>
    <s v="Marketplace"/>
    <s v="Gig Workers"/>
    <x v="2"/>
    <n v="15567023111"/>
    <s v="Strong Founding Team"/>
    <s v="High Burn Rate"/>
    <s v="Partnership Channels"/>
    <s v="Funding Crunch"/>
    <n v="8"/>
    <n v="7"/>
    <n v="4"/>
    <n v="10"/>
    <n v="9"/>
    <n v="4"/>
    <n v="6"/>
    <x v="0"/>
    <n v="57"/>
    <n v="7"/>
    <n v="63.5"/>
    <n v="57.3"/>
    <n v="53.75"/>
    <n v="0"/>
    <x v="0"/>
  </r>
  <r>
    <s v="ST1043"/>
    <s v="CropCloud"/>
    <x v="0"/>
    <s v="Marketplace"/>
    <s v="Enterprises"/>
    <x v="2"/>
    <n v="26997241857"/>
    <s v="Strong Founding Team"/>
    <s v="Low Brand Awareness"/>
    <s v="Partnership Channels"/>
    <s v="Changing Customer Behaviour"/>
    <n v="7"/>
    <n v="4"/>
    <n v="8"/>
    <n v="6"/>
    <n v="7"/>
    <n v="5"/>
    <n v="9"/>
    <x v="1"/>
    <n v="85"/>
    <n v="6.166666666666667"/>
    <n v="73.333333333333343"/>
    <n v="58.083333333333329"/>
    <n v="56.541666666666664"/>
    <n v="1"/>
    <x v="0"/>
  </r>
  <r>
    <s v="ST1044"/>
    <s v="CargoNest"/>
    <x v="3"/>
    <s v="Advisory Service"/>
    <s v="Students"/>
    <x v="3"/>
    <n v="13008818272"/>
    <s v="Strategic Partnerships"/>
    <s v="Unproven Model"/>
    <s v="Partnership Channels"/>
    <s v="Changing Customer Behaviour"/>
    <n v="6"/>
    <n v="9"/>
    <n v="5"/>
    <n v="10"/>
    <n v="5"/>
    <n v="2"/>
    <n v="3"/>
    <x v="2"/>
    <n v="73"/>
    <n v="6.166666666666667"/>
    <n v="67.333333333333343"/>
    <n v="68.283333333333331"/>
    <n v="70.041666666666657"/>
    <n v="0"/>
    <x v="0"/>
  </r>
  <r>
    <s v="ST1045"/>
    <s v="RouteIQ"/>
    <x v="3"/>
    <s v="Subscription App"/>
    <s v="Gig Workers"/>
    <x v="3"/>
    <n v="47017634564"/>
    <s v="First-Mover Advantage"/>
    <s v="Limited Funding"/>
    <s v="Government Incentives"/>
    <s v="Funding Crunch"/>
    <n v="6"/>
    <n v="2"/>
    <n v="5"/>
    <n v="7"/>
    <n v="8"/>
    <n v="5"/>
    <n v="8"/>
    <x v="1"/>
    <n v="53"/>
    <n v="5.5"/>
    <n v="54"/>
    <n v="45.45"/>
    <n v="42.625"/>
    <n v="1"/>
    <x v="0"/>
  </r>
  <r>
    <s v="ST1046"/>
    <s v="QuickShip"/>
    <x v="3"/>
    <s v="IoT Device"/>
    <s v="Students"/>
    <x v="3"/>
    <n v="43127088467"/>
    <s v="Low-Cost Model"/>
    <s v="Low Brand Awareness"/>
    <s v="Partnership Channels"/>
    <s v="Funding Crunch"/>
    <n v="9"/>
    <n v="4"/>
    <n v="2"/>
    <n v="6"/>
    <n v="3"/>
    <n v="5"/>
    <n v="5"/>
    <x v="0"/>
    <n v="62"/>
    <n v="4.833333333333333"/>
    <n v="55.166666666666664"/>
    <n v="54.216666666666669"/>
    <n v="55.708333333333329"/>
    <n v="0"/>
    <x v="0"/>
  </r>
  <r>
    <s v="ST1047"/>
    <s v="AgroLink"/>
    <x v="0"/>
    <s v="Subscription App"/>
    <s v="Urban Millennials"/>
    <x v="0"/>
    <n v="37432190343"/>
    <s v="First-Mover Advantage"/>
    <s v="Low Brand Awareness"/>
    <s v="Digital Adoption"/>
    <s v="Tech Disruption"/>
    <n v="8"/>
    <n v="3"/>
    <n v="8"/>
    <n v="5"/>
    <n v="7"/>
    <n v="9"/>
    <n v="8"/>
    <x v="0"/>
    <n v="55"/>
    <n v="6.666666666666667"/>
    <n v="60.833333333333336"/>
    <n v="50.333333333333329"/>
    <n v="45.666666666666664"/>
    <n v="0"/>
    <x v="0"/>
  </r>
  <r>
    <s v="ST1048"/>
    <s v="SkillBay"/>
    <x v="5"/>
    <s v="Mobile Platform"/>
    <s v="Urban Millennials"/>
    <x v="4"/>
    <n v="43231177731"/>
    <s v="Strong Founding Team"/>
    <s v="Unproven Model"/>
    <s v="Export Potential"/>
    <s v="Intense Competition"/>
    <n v="4"/>
    <n v="3"/>
    <n v="9"/>
    <n v="7"/>
    <n v="6"/>
    <n v="6"/>
    <n v="9"/>
    <x v="1"/>
    <n v="48"/>
    <n v="5.833333333333333"/>
    <n v="53.166666666666664"/>
    <n v="42.116666666666667"/>
    <n v="37.458333333333329"/>
    <n v="1"/>
    <x v="0"/>
  </r>
  <r>
    <s v="ST1049"/>
    <s v="TutorHub"/>
    <x v="5"/>
    <s v="Mobile Platform"/>
    <s v="Gig Workers"/>
    <x v="3"/>
    <n v="22474806697"/>
    <s v="Strong IP"/>
    <s v="Regulatory Exposure"/>
    <s v="Government Incentives"/>
    <s v="Regulatory Changes"/>
    <n v="4"/>
    <n v="6"/>
    <n v="5"/>
    <n v="6"/>
    <n v="6"/>
    <n v="9"/>
    <n v="4"/>
    <x v="2"/>
    <n v="42"/>
    <n v="6"/>
    <n v="51"/>
    <n v="52.8"/>
    <n v="51"/>
    <n v="0"/>
    <x v="0"/>
  </r>
  <r>
    <s v="ST1050"/>
    <s v="FarmIQ"/>
    <x v="0"/>
    <s v="Subscription App"/>
    <s v="Gig Workers"/>
    <x v="2"/>
    <n v="24415104017"/>
    <s v="Strong IP"/>
    <s v="Small Team"/>
    <s v="Growing Market Demand"/>
    <s v="Funding Crunch"/>
    <n v="8"/>
    <n v="3"/>
    <n v="5"/>
    <n v="3"/>
    <n v="8"/>
    <n v="5"/>
    <n v="8"/>
    <x v="1"/>
    <n v="41"/>
    <n v="5.333333333333333"/>
    <n v="47.166666666666664"/>
    <n v="40.066666666666663"/>
    <n v="36.333333333333329"/>
    <n v="1"/>
    <x v="0"/>
  </r>
  <r>
    <s v="ST1051"/>
    <s v="QuickShip"/>
    <x v="3"/>
    <s v="IoT Device"/>
    <s v="Gig Workers"/>
    <x v="1"/>
    <n v="14709477076"/>
    <s v="Low-Cost Model"/>
    <s v="High Burn Rate"/>
    <s v="Digital Adoption"/>
    <s v="Changing Customer Behaviour"/>
    <n v="7"/>
    <n v="6"/>
    <n v="6"/>
    <n v="6"/>
    <n v="5"/>
    <n v="7"/>
    <n v="8"/>
    <x v="1"/>
    <n v="51"/>
    <n v="6.166666666666667"/>
    <n v="56.333333333333336"/>
    <n v="46.983333333333334"/>
    <n v="42.791666666666664"/>
    <n v="1"/>
    <x v="0"/>
  </r>
  <r>
    <s v="ST1052"/>
    <s v="EcoCharge"/>
    <x v="1"/>
    <s v="SaaS Tool"/>
    <s v="SMBs"/>
    <x v="4"/>
    <n v="6954051648"/>
    <s v="Strategic Partnerships"/>
    <s v="High Burn Rate"/>
    <s v="Growing Market Demand"/>
    <s v="Regulatory Changes"/>
    <n v="6"/>
    <n v="5"/>
    <n v="5"/>
    <n v="8"/>
    <n v="4"/>
    <n v="3"/>
    <n v="5"/>
    <x v="0"/>
    <n v="78"/>
    <n v="5.166666666666667"/>
    <n v="64.833333333333343"/>
    <n v="61.783333333333331"/>
    <n v="64.291666666666657"/>
    <n v="0"/>
    <x v="0"/>
  </r>
  <r>
    <s v="ST1053"/>
    <s v="EcoCharge"/>
    <x v="1"/>
    <s v="Advisory Service"/>
    <s v="Rural Consumers"/>
    <x v="4"/>
    <n v="2899109691"/>
    <s v="First-Mover Advantage"/>
    <s v="Unproven Model"/>
    <s v="Government Incentives"/>
    <s v="Funding Crunch"/>
    <n v="9"/>
    <n v="2"/>
    <n v="6"/>
    <n v="4"/>
    <n v="6"/>
    <n v="8"/>
    <n v="8"/>
    <x v="1"/>
    <n v="73"/>
    <n v="5.833333333333333"/>
    <n v="65.666666666666657"/>
    <n v="54.616666666666667"/>
    <n v="53.208333333333329"/>
    <n v="1"/>
    <x v="0"/>
  </r>
  <r>
    <s v="ST1054"/>
    <s v="CrediFy"/>
    <x v="4"/>
    <s v="Marketplace"/>
    <s v="Rural Consumers"/>
    <x v="4"/>
    <n v="34958158067"/>
    <s v="Strong IP"/>
    <s v="High Burn Rate"/>
    <s v="Export Potential"/>
    <s v="Funding Crunch"/>
    <n v="8"/>
    <n v="8"/>
    <n v="7"/>
    <n v="5"/>
    <n v="4"/>
    <n v="9"/>
    <n v="6"/>
    <x v="0"/>
    <n v="43"/>
    <n v="6.833333333333333"/>
    <n v="55.666666666666664"/>
    <n v="51.11666666666666"/>
    <n v="46.458333333333329"/>
    <n v="0"/>
    <x v="0"/>
  </r>
  <r>
    <s v="ST1055"/>
    <s v="RouteIQ"/>
    <x v="3"/>
    <s v="Subscription App"/>
    <s v="Rural Consumers"/>
    <x v="0"/>
    <n v="34867315058"/>
    <s v="Strong IP"/>
    <s v="Limited Funding"/>
    <s v="Untapped Segments"/>
    <s v="Tech Disruption"/>
    <n v="4"/>
    <n v="4"/>
    <n v="7"/>
    <n v="10"/>
    <n v="6"/>
    <n v="3"/>
    <n v="10"/>
    <x v="1"/>
    <n v="90"/>
    <n v="5.666666666666667"/>
    <n v="73.333333333333343"/>
    <n v="55.833333333333329"/>
    <n v="54.916666666666664"/>
    <n v="1"/>
    <x v="0"/>
  </r>
  <r>
    <s v="ST1056"/>
    <s v="EcoCharge"/>
    <x v="1"/>
    <s v="Advisory Service"/>
    <s v="Rural Consumers"/>
    <x v="2"/>
    <n v="41580627847"/>
    <s v="First-Mover Advantage"/>
    <s v="Low Brand Awareness"/>
    <s v="Untapped Segments"/>
    <s v="Intense Competition"/>
    <n v="7"/>
    <n v="7"/>
    <n v="4"/>
    <n v="7"/>
    <n v="2"/>
    <n v="6"/>
    <n v="9"/>
    <x v="1"/>
    <n v="78"/>
    <n v="5.5"/>
    <n v="66.5"/>
    <n v="52.95"/>
    <n v="51.875"/>
    <n v="1"/>
    <x v="0"/>
  </r>
  <r>
    <s v="ST1057"/>
    <s v="GreenFlow"/>
    <x v="1"/>
    <s v="IoT Device"/>
    <s v="Urban Millennials"/>
    <x v="1"/>
    <n v="39251832821"/>
    <s v="Strong Founding Team"/>
    <s v="Regulatory Exposure"/>
    <s v="Growing Market Demand"/>
    <s v="Economic Slowdown"/>
    <n v="7"/>
    <n v="3"/>
    <n v="4"/>
    <n v="10"/>
    <n v="4"/>
    <n v="2"/>
    <n v="6"/>
    <x v="0"/>
    <n v="63"/>
    <n v="5"/>
    <n v="56.5"/>
    <n v="52.7"/>
    <n v="53.25"/>
    <n v="0"/>
    <x v="0"/>
  </r>
  <r>
    <s v="ST1058"/>
    <s v="AgroLink"/>
    <x v="0"/>
    <s v="Marketplace"/>
    <s v="Gig Workers"/>
    <x v="4"/>
    <n v="26455862566"/>
    <s v="Strong Founding Team"/>
    <s v="Small Team"/>
    <s v="Growing Market Demand"/>
    <s v="Regulatory Changes"/>
    <n v="5"/>
    <n v="3"/>
    <n v="3"/>
    <n v="7"/>
    <n v="2"/>
    <n v="5"/>
    <n v="3"/>
    <x v="2"/>
    <n v="54"/>
    <n v="4.166666666666667"/>
    <n v="47.833333333333336"/>
    <n v="53.683333333333337"/>
    <n v="57.041666666666671"/>
    <n v="0"/>
    <x v="0"/>
  </r>
  <r>
    <s v="ST1059"/>
    <s v="LearnX"/>
    <x v="5"/>
    <s v="Advisory Service"/>
    <s v="Rural Consumers"/>
    <x v="1"/>
    <n v="32596797420"/>
    <s v="Low-Cost Model"/>
    <s v="Regulatory Exposure"/>
    <s v="Growing Market Demand"/>
    <s v="Funding Crunch"/>
    <n v="5"/>
    <n v="6"/>
    <n v="5"/>
    <n v="4"/>
    <n v="9"/>
    <n v="7"/>
    <n v="10"/>
    <x v="1"/>
    <n v="45"/>
    <n v="6"/>
    <n v="52.5"/>
    <n v="39"/>
    <n v="33"/>
    <n v="1"/>
    <x v="0"/>
  </r>
  <r>
    <s v="ST1060"/>
    <s v="QuickShip"/>
    <x v="3"/>
    <s v="Marketplace"/>
    <s v="Rural Consumers"/>
    <x v="4"/>
    <n v="23378873613"/>
    <s v="Strategic Partnerships"/>
    <s v="High Burn Rate"/>
    <s v="Growing Market Demand"/>
    <s v="Tech Disruption"/>
    <n v="4"/>
    <n v="8"/>
    <n v="7"/>
    <n v="10"/>
    <n v="8"/>
    <n v="8"/>
    <n v="6"/>
    <x v="0"/>
    <n v="56"/>
    <n v="7.5"/>
    <n v="65.5"/>
    <n v="58.650000000000006"/>
    <n v="54.125"/>
    <n v="0"/>
    <x v="0"/>
  </r>
  <r>
    <s v="ST1061"/>
    <s v="CareLoop"/>
    <x v="2"/>
    <s v="SaaS Tool"/>
    <s v="Gig Workers"/>
    <x v="4"/>
    <n v="29984477312"/>
    <s v="Strong Founding Team"/>
    <s v="High Burn Rate"/>
    <s v="Government Incentives"/>
    <s v="Changing Customer Behaviour"/>
    <n v="2"/>
    <n v="3"/>
    <n v="3"/>
    <n v="3"/>
    <n v="2"/>
    <n v="2"/>
    <n v="8"/>
    <x v="1"/>
    <n v="91"/>
    <n v="2.5"/>
    <n v="58"/>
    <n v="50.15"/>
    <n v="56.375"/>
    <n v="1"/>
    <x v="0"/>
  </r>
  <r>
    <s v="ST1062"/>
    <s v="GreenFlow"/>
    <x v="1"/>
    <s v="IoT Device"/>
    <s v="SMBs"/>
    <x v="1"/>
    <n v="2164676997"/>
    <s v="First-Mover Advantage"/>
    <s v="Small Team"/>
    <s v="Export Potential"/>
    <s v="Intense Competition"/>
    <n v="2"/>
    <n v="8"/>
    <n v="2"/>
    <n v="10"/>
    <n v="9"/>
    <n v="7"/>
    <n v="4"/>
    <x v="2"/>
    <n v="70"/>
    <n v="6.333333333333333"/>
    <n v="66.666666666666657"/>
    <n v="65.166666666666657"/>
    <n v="65.583333333333329"/>
    <n v="0"/>
    <x v="0"/>
  </r>
  <r>
    <s v="ST1063"/>
    <s v="CargoNest"/>
    <x v="3"/>
    <s v="Mobile Platform"/>
    <s v="Enterprises"/>
    <x v="0"/>
    <n v="39704195790"/>
    <s v="Strong Founding Team"/>
    <s v="High Burn Rate"/>
    <s v="Partnership Channels"/>
    <s v="Changing Customer Behaviour"/>
    <n v="2"/>
    <n v="5"/>
    <n v="8"/>
    <n v="9"/>
    <n v="5"/>
    <n v="9"/>
    <n v="6"/>
    <x v="0"/>
    <n v="43"/>
    <n v="6.333333333333333"/>
    <n v="53.166666666666664"/>
    <n v="49.36666666666666"/>
    <n v="45.583333333333329"/>
    <n v="0"/>
    <x v="0"/>
  </r>
  <r>
    <s v="ST1064"/>
    <s v="CropCloud"/>
    <x v="0"/>
    <s v="SaaS Tool"/>
    <s v="Gig Workers"/>
    <x v="4"/>
    <n v="38069320185"/>
    <s v="Innovative Technology"/>
    <s v="Small Team"/>
    <s v="Untapped Segments"/>
    <s v="Regulatory Changes"/>
    <n v="7"/>
    <n v="7"/>
    <n v="5"/>
    <n v="6"/>
    <n v="6"/>
    <n v="8"/>
    <n v="8"/>
    <x v="1"/>
    <n v="79"/>
    <n v="6.5"/>
    <n v="72"/>
    <n v="59.35"/>
    <n v="57.375"/>
    <n v="1"/>
    <x v="0"/>
  </r>
  <r>
    <s v="ST1065"/>
    <s v="GreenFlow"/>
    <x v="1"/>
    <s v="Advisory Service"/>
    <s v="Enterprises"/>
    <x v="3"/>
    <n v="30021997054"/>
    <s v="Strong Founding Team"/>
    <s v="Small Team"/>
    <s v="Export Potential"/>
    <s v="Funding Crunch"/>
    <n v="8"/>
    <n v="2"/>
    <n v="3"/>
    <n v="9"/>
    <n v="3"/>
    <n v="2"/>
    <n v="4"/>
    <x v="0"/>
    <n v="56"/>
    <n v="4.5"/>
    <n v="50.5"/>
    <n v="53.15"/>
    <n v="55.375"/>
    <n v="0"/>
    <x v="0"/>
  </r>
  <r>
    <s v="ST1066"/>
    <s v="CrediFy"/>
    <x v="4"/>
    <s v="Mobile Platform"/>
    <s v="Gig Workers"/>
    <x v="0"/>
    <n v="27489349662"/>
    <s v="Strong IP"/>
    <s v="Low Brand Awareness"/>
    <s v="Export Potential"/>
    <s v="Economic Slowdown"/>
    <n v="5"/>
    <n v="7"/>
    <n v="6"/>
    <n v="9"/>
    <n v="9"/>
    <n v="3"/>
    <n v="6"/>
    <x v="0"/>
    <n v="90"/>
    <n v="6.5"/>
    <n v="77.5"/>
    <n v="68.75"/>
    <n v="69.375"/>
    <n v="0"/>
    <x v="0"/>
  </r>
  <r>
    <s v="ST1067"/>
    <s v="WealthNest"/>
    <x v="4"/>
    <s v="SaaS Tool"/>
    <s v="Students"/>
    <x v="2"/>
    <n v="10262760342"/>
    <s v="Strategic Partnerships"/>
    <s v="Unproven Model"/>
    <s v="Partnership Channels"/>
    <s v="Regulatory Changes"/>
    <n v="2"/>
    <n v="8"/>
    <n v="5"/>
    <n v="5"/>
    <n v="2"/>
    <n v="8"/>
    <n v="7"/>
    <x v="1"/>
    <n v="73"/>
    <n v="5"/>
    <n v="61.5"/>
    <n v="54.2"/>
    <n v="55"/>
    <n v="1"/>
    <x v="0"/>
  </r>
  <r>
    <s v="ST1068"/>
    <s v="CropCloud"/>
    <x v="0"/>
    <s v="IoT Device"/>
    <s v="SMBs"/>
    <x v="0"/>
    <n v="27681822633"/>
    <s v="First-Mover Advantage"/>
    <s v="High Burn Rate"/>
    <s v="Government Incentives"/>
    <s v="Tech Disruption"/>
    <n v="4"/>
    <n v="9"/>
    <n v="5"/>
    <n v="10"/>
    <n v="3"/>
    <n v="2"/>
    <n v="8"/>
    <x v="1"/>
    <n v="64"/>
    <n v="5.5"/>
    <n v="59.5"/>
    <n v="49.85"/>
    <n v="48.125"/>
    <n v="1"/>
    <x v="0"/>
  </r>
  <r>
    <s v="ST1069"/>
    <s v="CareLoop"/>
    <x v="2"/>
    <s v="IoT Device"/>
    <s v="Enterprises"/>
    <x v="3"/>
    <n v="18563620531"/>
    <s v="Strategic Partnerships"/>
    <s v="Unproven Model"/>
    <s v="Growing Market Demand"/>
    <s v="Changing Customer Behaviour"/>
    <n v="3"/>
    <n v="7"/>
    <n v="7"/>
    <n v="9"/>
    <n v="4"/>
    <n v="2"/>
    <n v="10"/>
    <x v="1"/>
    <n v="75"/>
    <n v="5.333333333333333"/>
    <n v="64.166666666666657"/>
    <n v="48.666666666666664"/>
    <n v="46.833333333333329"/>
    <n v="1"/>
    <x v="0"/>
  </r>
  <r>
    <s v="ST1070"/>
    <s v="EcoCharge"/>
    <x v="1"/>
    <s v="Advisory Service"/>
    <s v="Rural Consumers"/>
    <x v="4"/>
    <n v="23669466537"/>
    <s v="First-Mover Advantage"/>
    <s v="Limited Funding"/>
    <s v="Digital Adoption"/>
    <s v="Regulatory Changes"/>
    <n v="2"/>
    <n v="2"/>
    <n v="3"/>
    <n v="7"/>
    <n v="6"/>
    <n v="2"/>
    <n v="5"/>
    <x v="0"/>
    <n v="81"/>
    <n v="3.6666666666666665"/>
    <n v="58.833333333333329"/>
    <n v="57.733333333333334"/>
    <n v="63.166666666666671"/>
    <n v="0"/>
    <x v="0"/>
  </r>
  <r>
    <s v="ST1071"/>
    <s v="CargoNest"/>
    <x v="3"/>
    <s v="SaaS Tool"/>
    <s v="Students"/>
    <x v="4"/>
    <n v="36074009928"/>
    <s v="First-Mover Advantage"/>
    <s v="Low Brand Awareness"/>
    <s v="Export Potential"/>
    <s v="Regulatory Changes"/>
    <n v="3"/>
    <n v="6"/>
    <n v="3"/>
    <n v="4"/>
    <n v="7"/>
    <n v="8"/>
    <n v="8"/>
    <x v="1"/>
    <n v="93"/>
    <n v="5.166666666666667"/>
    <n v="72.333333333333343"/>
    <n v="60.283333333333331"/>
    <n v="62.041666666666664"/>
    <n v="1"/>
    <x v="0"/>
  </r>
  <r>
    <s v="ST1072"/>
    <s v="AgroLink"/>
    <x v="0"/>
    <s v="Mobile Platform"/>
    <s v="Urban Millennials"/>
    <x v="1"/>
    <n v="12489328776"/>
    <s v="Strong Founding Team"/>
    <s v="Limited Funding"/>
    <s v="Partnership Channels"/>
    <s v="Economic Slowdown"/>
    <n v="4"/>
    <n v="5"/>
    <n v="8"/>
    <n v="6"/>
    <n v="4"/>
    <n v="6"/>
    <n v="10"/>
    <x v="1"/>
    <n v="91"/>
    <n v="5.5"/>
    <n v="73"/>
    <n v="55.65"/>
    <n v="55.125"/>
    <n v="1"/>
    <x v="0"/>
  </r>
  <r>
    <s v="ST1073"/>
    <s v="TutorHub"/>
    <x v="5"/>
    <s v="Advisory Service"/>
    <s v="SMBs"/>
    <x v="0"/>
    <n v="31093202943"/>
    <s v="First-Mover Advantage"/>
    <s v="High Burn Rate"/>
    <s v="Export Potential"/>
    <s v="Economic Slowdown"/>
    <n v="7"/>
    <n v="5"/>
    <n v="8"/>
    <n v="5"/>
    <n v="4"/>
    <n v="8"/>
    <n v="3"/>
    <x v="2"/>
    <n v="53"/>
    <n v="6.166666666666667"/>
    <n v="57.333333333333336"/>
    <n v="60.283333333333331"/>
    <n v="60.041666666666664"/>
    <n v="0"/>
    <x v="0"/>
  </r>
  <r>
    <s v="ST1074"/>
    <s v="CropCloud"/>
    <x v="0"/>
    <s v="Advisory Service"/>
    <s v="SMBs"/>
    <x v="4"/>
    <n v="13251883957"/>
    <s v="Strategic Partnerships"/>
    <s v="Low Brand Awareness"/>
    <s v="Partnership Channels"/>
    <s v="Changing Customer Behaviour"/>
    <n v="9"/>
    <n v="6"/>
    <n v="2"/>
    <n v="9"/>
    <n v="2"/>
    <n v="5"/>
    <n v="5"/>
    <x v="0"/>
    <n v="36"/>
    <n v="5.5"/>
    <n v="45.5"/>
    <n v="46.15"/>
    <n v="43.875"/>
    <n v="0"/>
    <x v="0"/>
  </r>
  <r>
    <s v="ST1075"/>
    <s v="PayPlus"/>
    <x v="4"/>
    <s v="Advisory Service"/>
    <s v="SMBs"/>
    <x v="3"/>
    <n v="40092287793"/>
    <s v="Low-Cost Model"/>
    <s v="Low Brand Awareness"/>
    <s v="Partnership Channels"/>
    <s v="Economic Slowdown"/>
    <n v="6"/>
    <n v="4"/>
    <n v="2"/>
    <n v="5"/>
    <n v="5"/>
    <n v="3"/>
    <n v="8"/>
    <x v="1"/>
    <n v="91"/>
    <n v="4.166666666666667"/>
    <n v="66.333333333333343"/>
    <n v="55.983333333333334"/>
    <n v="59.291666666666671"/>
    <n v="1"/>
    <x v="0"/>
  </r>
  <r>
    <s v="ST1076"/>
    <s v="SkillBay"/>
    <x v="5"/>
    <s v="Marketplace"/>
    <s v="Students"/>
    <x v="2"/>
    <n v="25779123937"/>
    <s v="Strategic Partnerships"/>
    <s v="Unproven Model"/>
    <s v="Partnership Channels"/>
    <s v="Tech Disruption"/>
    <n v="4"/>
    <n v="4"/>
    <n v="3"/>
    <n v="3"/>
    <n v="9"/>
    <n v="2"/>
    <n v="5"/>
    <x v="0"/>
    <n v="94"/>
    <n v="4.166666666666667"/>
    <n v="67.833333333333343"/>
    <n v="64.683333333333337"/>
    <n v="70.541666666666671"/>
    <n v="0"/>
    <x v="0"/>
  </r>
  <r>
    <s v="ST1077"/>
    <s v="CrediFy"/>
    <x v="4"/>
    <s v="IoT Device"/>
    <s v="Urban Millennials"/>
    <x v="3"/>
    <n v="49061642839"/>
    <s v="Low-Cost Model"/>
    <s v="Small Team"/>
    <s v="Export Potential"/>
    <s v="Intense Competition"/>
    <n v="7"/>
    <n v="2"/>
    <n v="5"/>
    <n v="10"/>
    <n v="8"/>
    <n v="3"/>
    <n v="5"/>
    <x v="0"/>
    <n v="77"/>
    <n v="5.833333333333333"/>
    <n v="67.666666666666657"/>
    <n v="63.716666666666669"/>
    <n v="64.958333333333329"/>
    <n v="0"/>
    <x v="0"/>
  </r>
  <r>
    <s v="ST1078"/>
    <s v="CrediFy"/>
    <x v="4"/>
    <s v="Subscription App"/>
    <s v="Students"/>
    <x v="3"/>
    <n v="36011993678"/>
    <s v="Strong Founding Team"/>
    <s v="Regulatory Exposure"/>
    <s v="Government Incentives"/>
    <s v="Intense Competition"/>
    <n v="9"/>
    <n v="6"/>
    <n v="4"/>
    <n v="10"/>
    <n v="7"/>
    <n v="6"/>
    <n v="4"/>
    <x v="2"/>
    <n v="81"/>
    <n v="7"/>
    <n v="75.5"/>
    <n v="71.900000000000006"/>
    <n v="72.25"/>
    <n v="0"/>
    <x v="0"/>
  </r>
  <r>
    <s v="ST1079"/>
    <s v="RouteIQ"/>
    <x v="3"/>
    <s v="Marketplace"/>
    <s v="Urban Millennials"/>
    <x v="1"/>
    <n v="31198751297"/>
    <s v="Strong IP"/>
    <s v="Low Brand Awareness"/>
    <s v="Export Potential"/>
    <s v="Changing Customer Behaviour"/>
    <n v="4"/>
    <n v="7"/>
    <n v="7"/>
    <n v="10"/>
    <n v="5"/>
    <n v="2"/>
    <n v="4"/>
    <x v="2"/>
    <n v="39"/>
    <n v="5.833333333333333"/>
    <n v="48.666666666666664"/>
    <n v="51.016666666666666"/>
    <n v="49.208333333333329"/>
    <n v="0"/>
    <x v="0"/>
  </r>
  <r>
    <s v="ST1080"/>
    <s v="TutorHub"/>
    <x v="5"/>
    <s v="Subscription App"/>
    <s v="Enterprises"/>
    <x v="4"/>
    <n v="46276362696"/>
    <s v="First-Mover Advantage"/>
    <s v="Unproven Model"/>
    <s v="Growing Market Demand"/>
    <s v="Tech Disruption"/>
    <n v="9"/>
    <n v="8"/>
    <n v="7"/>
    <n v="4"/>
    <n v="2"/>
    <n v="6"/>
    <n v="5"/>
    <x v="0"/>
    <n v="83"/>
    <n v="6"/>
    <n v="71.5"/>
    <n v="66.7"/>
    <n v="68.25"/>
    <n v="0"/>
    <x v="0"/>
  </r>
  <r>
    <s v="ST1081"/>
    <s v="CropCloud"/>
    <x v="0"/>
    <s v="Mobile Platform"/>
    <s v="Urban Millennials"/>
    <x v="2"/>
    <n v="33215527784"/>
    <s v="Low-Cost Model"/>
    <s v="Unproven Model"/>
    <s v="Digital Adoption"/>
    <s v="Funding Crunch"/>
    <n v="6"/>
    <n v="7"/>
    <n v="2"/>
    <n v="8"/>
    <n v="7"/>
    <n v="2"/>
    <n v="9"/>
    <x v="1"/>
    <n v="93"/>
    <n v="5.333333333333333"/>
    <n v="73.166666666666657"/>
    <n v="58.366666666666667"/>
    <n v="59.083333333333329"/>
    <n v="1"/>
    <x v="0"/>
  </r>
  <r>
    <s v="ST1082"/>
    <s v="PayPlus"/>
    <x v="4"/>
    <s v="Advisory Service"/>
    <s v="SMBs"/>
    <x v="3"/>
    <n v="36615469468"/>
    <s v="Strong IP"/>
    <s v="Low Brand Awareness"/>
    <s v="Growing Market Demand"/>
    <s v="Economic Slowdown"/>
    <n v="8"/>
    <n v="4"/>
    <n v="3"/>
    <n v="8"/>
    <n v="5"/>
    <n v="9"/>
    <n v="9"/>
    <x v="1"/>
    <n v="51"/>
    <n v="6.166666666666667"/>
    <n v="56.333333333333336"/>
    <n v="44.483333333333334"/>
    <n v="39.541666666666664"/>
    <n v="1"/>
    <x v="0"/>
  </r>
  <r>
    <s v="ST1083"/>
    <s v="QuickShip"/>
    <x v="3"/>
    <s v="Advisory Service"/>
    <s v="Rural Consumers"/>
    <x v="3"/>
    <n v="41347389966"/>
    <s v="Strong Founding Team"/>
    <s v="Unproven Model"/>
    <s v="Digital Adoption"/>
    <s v="Changing Customer Behaviour"/>
    <n v="7"/>
    <n v="2"/>
    <n v="4"/>
    <n v="5"/>
    <n v="5"/>
    <n v="7"/>
    <n v="5"/>
    <x v="0"/>
    <n v="83"/>
    <n v="5"/>
    <n v="66.5"/>
    <n v="63.2"/>
    <n v="66.5"/>
    <n v="0"/>
    <x v="0"/>
  </r>
  <r>
    <s v="ST1084"/>
    <s v="FarmIQ"/>
    <x v="0"/>
    <s v="Subscription App"/>
    <s v="Students"/>
    <x v="1"/>
    <n v="6344072552"/>
    <s v="Strategic Partnerships"/>
    <s v="Low Brand Awareness"/>
    <s v="Untapped Segments"/>
    <s v="Economic Slowdown"/>
    <n v="9"/>
    <n v="9"/>
    <n v="4"/>
    <n v="10"/>
    <n v="9"/>
    <n v="9"/>
    <n v="6"/>
    <x v="2"/>
    <n v="37"/>
    <n v="8.3333333333333339"/>
    <n v="60.166666666666671"/>
    <n v="53.966666666666669"/>
    <n v="46.083333333333336"/>
    <n v="0"/>
    <x v="0"/>
  </r>
  <r>
    <s v="ST1085"/>
    <s v="CrediFy"/>
    <x v="4"/>
    <s v="Mobile Platform"/>
    <s v="SMBs"/>
    <x v="1"/>
    <n v="12366471298"/>
    <s v="Strong IP"/>
    <s v="Unproven Model"/>
    <s v="Digital Adoption"/>
    <s v="Economic Slowdown"/>
    <n v="4"/>
    <n v="6"/>
    <n v="7"/>
    <n v="10"/>
    <n v="8"/>
    <n v="8"/>
    <n v="9"/>
    <x v="1"/>
    <n v="65"/>
    <n v="7.166666666666667"/>
    <n v="68.333333333333343"/>
    <n v="53.583333333333329"/>
    <n v="48.291666666666664"/>
    <n v="1"/>
    <x v="0"/>
  </r>
  <r>
    <s v="ST1086"/>
    <s v="LearnX"/>
    <x v="5"/>
    <s v="Subscription App"/>
    <s v="Students"/>
    <x v="2"/>
    <n v="26664001547"/>
    <s v="First-Mover Advantage"/>
    <s v="Small Team"/>
    <s v="Growing Market Demand"/>
    <s v="Funding Crunch"/>
    <n v="6"/>
    <n v="7"/>
    <n v="6"/>
    <n v="10"/>
    <n v="7"/>
    <n v="6"/>
    <n v="6"/>
    <x v="0"/>
    <n v="81"/>
    <n v="7"/>
    <n v="75.5"/>
    <n v="66.900000000000006"/>
    <n v="65.75"/>
    <n v="0"/>
    <x v="0"/>
  </r>
  <r>
    <s v="ST1087"/>
    <s v="FarmIQ"/>
    <x v="0"/>
    <s v="Mobile Platform"/>
    <s v="Gig Workers"/>
    <x v="1"/>
    <n v="18969325551"/>
    <s v="Strong Founding Team"/>
    <s v="Low Brand Awareness"/>
    <s v="Digital Adoption"/>
    <s v="Intense Competition"/>
    <n v="6"/>
    <n v="5"/>
    <n v="9"/>
    <n v="3"/>
    <n v="7"/>
    <n v="2"/>
    <n v="4"/>
    <x v="2"/>
    <n v="62"/>
    <n v="5.333333333333333"/>
    <n v="57.666666666666664"/>
    <n v="58.466666666666669"/>
    <n v="59.833333333333329"/>
    <n v="0"/>
    <x v="0"/>
  </r>
  <r>
    <s v="ST1088"/>
    <s v="GreenFlow"/>
    <x v="1"/>
    <s v="Subscription App"/>
    <s v="Enterprises"/>
    <x v="4"/>
    <n v="33460327820"/>
    <s v="Low-Cost Model"/>
    <s v="Unproven Model"/>
    <s v="Untapped Segments"/>
    <s v="Intense Competition"/>
    <n v="5"/>
    <n v="7"/>
    <n v="7"/>
    <n v="5"/>
    <n v="3"/>
    <n v="9"/>
    <n v="7"/>
    <x v="0"/>
    <n v="46"/>
    <n v="6"/>
    <n v="53"/>
    <n v="46.900000000000006"/>
    <n v="43.25"/>
    <n v="0"/>
    <x v="0"/>
  </r>
  <r>
    <s v="ST1089"/>
    <s v="SkillBay"/>
    <x v="5"/>
    <s v="Advisory Service"/>
    <s v="SMBs"/>
    <x v="4"/>
    <n v="12680420458"/>
    <s v="Strategic Partnerships"/>
    <s v="High Burn Rate"/>
    <s v="Growing Market Demand"/>
    <s v="Intense Competition"/>
    <n v="9"/>
    <n v="7"/>
    <n v="2"/>
    <n v="3"/>
    <n v="6"/>
    <n v="3"/>
    <n v="4"/>
    <x v="0"/>
    <n v="39"/>
    <n v="5"/>
    <n v="44.5"/>
    <n v="48.1"/>
    <n v="47.75"/>
    <n v="0"/>
    <x v="0"/>
  </r>
  <r>
    <s v="ST1090"/>
    <s v="WellTrack"/>
    <x v="2"/>
    <s v="Mobile Platform"/>
    <s v="SMBs"/>
    <x v="2"/>
    <n v="2903123174"/>
    <s v="Strong Founding Team"/>
    <s v="High Burn Rate"/>
    <s v="Export Potential"/>
    <s v="Tech Disruption"/>
    <n v="7"/>
    <n v="7"/>
    <n v="7"/>
    <n v="4"/>
    <n v="4"/>
    <n v="8"/>
    <n v="4"/>
    <x v="2"/>
    <n v="73"/>
    <n v="6.166666666666667"/>
    <n v="67.333333333333343"/>
    <n v="65.783333333333331"/>
    <n v="66.791666666666657"/>
    <n v="0"/>
    <x v="0"/>
  </r>
  <r>
    <s v="ST1091"/>
    <s v="AgroLink"/>
    <x v="0"/>
    <s v="Subscription App"/>
    <s v="SMBs"/>
    <x v="1"/>
    <n v="6517072494"/>
    <s v="Strategic Partnerships"/>
    <s v="Limited Funding"/>
    <s v="Partnership Channels"/>
    <s v="Tech Disruption"/>
    <n v="5"/>
    <n v="4"/>
    <n v="6"/>
    <n v="8"/>
    <n v="2"/>
    <n v="7"/>
    <n v="9"/>
    <x v="1"/>
    <n v="56"/>
    <n v="5.333333333333333"/>
    <n v="54.666666666666664"/>
    <n v="43.566666666666663"/>
    <n v="40.583333333333329"/>
    <n v="1"/>
    <x v="0"/>
  </r>
  <r>
    <s v="ST1092"/>
    <s v="PayPlus"/>
    <x v="4"/>
    <s v="SaaS Tool"/>
    <s v="Rural Consumers"/>
    <x v="3"/>
    <n v="9390968731"/>
    <s v="Strategic Partnerships"/>
    <s v="High Burn Rate"/>
    <s v="Digital Adoption"/>
    <s v="Funding Crunch"/>
    <n v="3"/>
    <n v="8"/>
    <n v="9"/>
    <n v="3"/>
    <n v="6"/>
    <n v="8"/>
    <n v="9"/>
    <x v="1"/>
    <n v="83"/>
    <n v="6.166666666666667"/>
    <n v="72.333333333333343"/>
    <n v="57.283333333333331"/>
    <n v="55.541666666666664"/>
    <n v="1"/>
    <x v="0"/>
  </r>
  <r>
    <s v="ST1093"/>
    <s v="WellTrack"/>
    <x v="2"/>
    <s v="Mobile Platform"/>
    <s v="Gig Workers"/>
    <x v="1"/>
    <n v="39056231622"/>
    <s v="Low-Cost Model"/>
    <s v="High Burn Rate"/>
    <s v="Partnership Channels"/>
    <s v="Regulatory Changes"/>
    <n v="4"/>
    <n v="8"/>
    <n v="3"/>
    <n v="7"/>
    <n v="6"/>
    <n v="3"/>
    <n v="8"/>
    <x v="1"/>
    <n v="84"/>
    <n v="5.166666666666667"/>
    <n v="67.833333333333343"/>
    <n v="56.683333333333337"/>
    <n v="57.541666666666671"/>
    <n v="1"/>
    <x v="0"/>
  </r>
  <r>
    <s v="ST1094"/>
    <s v="QuickShip"/>
    <x v="3"/>
    <s v="IoT Device"/>
    <s v="SMBs"/>
    <x v="0"/>
    <n v="25330644445"/>
    <s v="Low-Cost Model"/>
    <s v="Regulatory Exposure"/>
    <s v="Growing Market Demand"/>
    <s v="Changing Customer Behaviour"/>
    <n v="2"/>
    <n v="9"/>
    <n v="8"/>
    <n v="8"/>
    <n v="8"/>
    <n v="7"/>
    <n v="7"/>
    <x v="0"/>
    <n v="76"/>
    <n v="7"/>
    <n v="73"/>
    <n v="62.400000000000006"/>
    <n v="60"/>
    <n v="0"/>
    <x v="0"/>
  </r>
  <r>
    <s v="ST1095"/>
    <s v="CareLoop"/>
    <x v="2"/>
    <s v="Subscription App"/>
    <s v="SMBs"/>
    <x v="3"/>
    <n v="7217410377"/>
    <s v="Strong IP"/>
    <s v="Regulatory Exposure"/>
    <s v="Government Incentives"/>
    <s v="Economic Slowdown"/>
    <n v="6"/>
    <n v="4"/>
    <n v="9"/>
    <n v="3"/>
    <n v="9"/>
    <n v="9"/>
    <n v="10"/>
    <x v="1"/>
    <n v="67"/>
    <n v="6.666666666666667"/>
    <n v="66.833333333333343"/>
    <n v="50.133333333333333"/>
    <n v="45.166666666666664"/>
    <n v="1"/>
    <x v="0"/>
  </r>
  <r>
    <s v="ST1096"/>
    <s v="SkillBay"/>
    <x v="5"/>
    <s v="Marketplace"/>
    <s v="Urban Millennials"/>
    <x v="1"/>
    <n v="36745249010"/>
    <s v="Strong Founding Team"/>
    <s v="High Burn Rate"/>
    <s v="Partnership Channels"/>
    <s v="Tech Disruption"/>
    <n v="9"/>
    <n v="6"/>
    <n v="7"/>
    <n v="7"/>
    <n v="2"/>
    <n v="7"/>
    <n v="9"/>
    <x v="1"/>
    <n v="64"/>
    <n v="6.333333333333333"/>
    <n v="63.666666666666664"/>
    <n v="50.266666666666666"/>
    <n v="46.333333333333329"/>
    <n v="1"/>
    <x v="0"/>
  </r>
  <r>
    <s v="ST1097"/>
    <s v="PayPlus"/>
    <x v="4"/>
    <s v="Mobile Platform"/>
    <s v="Rural Consumers"/>
    <x v="2"/>
    <n v="25756475810"/>
    <s v="Strong Founding Team"/>
    <s v="Low Brand Awareness"/>
    <s v="Partnership Channels"/>
    <s v="Regulatory Changes"/>
    <n v="5"/>
    <n v="7"/>
    <n v="7"/>
    <n v="5"/>
    <n v="7"/>
    <n v="2"/>
    <n v="4"/>
    <x v="2"/>
    <n v="93"/>
    <n v="5.5"/>
    <n v="74"/>
    <n v="71.45"/>
    <n v="75.625"/>
    <n v="0"/>
    <x v="0"/>
  </r>
  <r>
    <s v="ST1098"/>
    <s v="WellTrack"/>
    <x v="2"/>
    <s v="SaaS Tool"/>
    <s v="Students"/>
    <x v="3"/>
    <n v="25612462534"/>
    <s v="Innovative Technology"/>
    <s v="High Burn Rate"/>
    <s v="Growing Market Demand"/>
    <s v="Funding Crunch"/>
    <n v="9"/>
    <n v="3"/>
    <n v="2"/>
    <n v="6"/>
    <n v="9"/>
    <n v="4"/>
    <n v="6"/>
    <x v="0"/>
    <n v="42"/>
    <n v="5.5"/>
    <n v="48.5"/>
    <n v="46.05"/>
    <n v="43.625"/>
    <n v="0"/>
    <x v="0"/>
  </r>
  <r>
    <s v="ST1099"/>
    <s v="GreenFlow"/>
    <x v="1"/>
    <s v="IoT Device"/>
    <s v="Urban Millennials"/>
    <x v="0"/>
    <n v="41954632809"/>
    <s v="Strong IP"/>
    <s v="Regulatory Exposure"/>
    <s v="Growing Market Demand"/>
    <s v="Tech Disruption"/>
    <n v="2"/>
    <n v="2"/>
    <n v="6"/>
    <n v="3"/>
    <n v="3"/>
    <n v="3"/>
    <n v="10"/>
    <x v="1"/>
    <n v="84"/>
    <n v="3.1666666666666665"/>
    <n v="57.833333333333329"/>
    <n v="44.683333333333337"/>
    <n v="47.541666666666671"/>
    <n v="1"/>
    <x v="0"/>
  </r>
  <r>
    <s v="ST1100"/>
    <s v="FarmIQ"/>
    <x v="0"/>
    <s v="Subscription App"/>
    <s v="SMBs"/>
    <x v="1"/>
    <n v="3288103475"/>
    <s v="First-Mover Advantage"/>
    <s v="High Burn Rate"/>
    <s v="Government Incentives"/>
    <s v="Changing Customer Behaviour"/>
    <n v="9"/>
    <n v="9"/>
    <n v="8"/>
    <n v="8"/>
    <n v="9"/>
    <n v="4"/>
    <n v="6"/>
    <x v="0"/>
    <n v="43"/>
    <n v="7.833333333333333"/>
    <n v="60.666666666666664"/>
    <n v="54.61666666666666"/>
    <n v="48.208333333333329"/>
    <n v="0"/>
    <x v="0"/>
  </r>
  <r>
    <s v="ST1101"/>
    <s v="QuickShip"/>
    <x v="3"/>
    <s v="Marketplace"/>
    <s v="Enterprises"/>
    <x v="2"/>
    <n v="38635254763"/>
    <s v="First-Mover Advantage"/>
    <s v="Small Team"/>
    <s v="Digital Adoption"/>
    <s v="Funding Crunch"/>
    <n v="9"/>
    <n v="5"/>
    <n v="9"/>
    <n v="5"/>
    <n v="7"/>
    <n v="3"/>
    <n v="5"/>
    <x v="0"/>
    <n v="92"/>
    <n v="6.333333333333333"/>
    <n v="77.666666666666657"/>
    <n v="71.466666666666669"/>
    <n v="73.333333333333329"/>
    <n v="0"/>
    <x v="0"/>
  </r>
  <r>
    <s v="ST1102"/>
    <s v="CropCloud"/>
    <x v="0"/>
    <s v="Marketplace"/>
    <s v="SMBs"/>
    <x v="2"/>
    <n v="22151448019"/>
    <s v="Low-Cost Model"/>
    <s v="Regulatory Exposure"/>
    <s v="Government Incentives"/>
    <s v="Changing Customer Behaviour"/>
    <n v="3"/>
    <n v="8"/>
    <n v="5"/>
    <n v="10"/>
    <n v="6"/>
    <n v="9"/>
    <n v="5"/>
    <x v="2"/>
    <n v="90"/>
    <n v="6.833333333333333"/>
    <n v="79.166666666666657"/>
    <n v="72.416666666666657"/>
    <n v="73.208333333333329"/>
    <n v="0"/>
    <x v="0"/>
  </r>
  <r>
    <s v="ST1103"/>
    <s v="MediGo"/>
    <x v="2"/>
    <s v="SaaS Tool"/>
    <s v="Enterprises"/>
    <x v="0"/>
    <n v="3548998173"/>
    <s v="Low-Cost Model"/>
    <s v="High Burn Rate"/>
    <s v="Digital Adoption"/>
    <s v="Regulatory Changes"/>
    <n v="9"/>
    <n v="8"/>
    <n v="2"/>
    <n v="9"/>
    <n v="8"/>
    <n v="6"/>
    <n v="10"/>
    <x v="1"/>
    <n v="65"/>
    <n v="7"/>
    <n v="67.5"/>
    <n v="50.5"/>
    <n v="44.75"/>
    <n v="1"/>
    <x v="0"/>
  </r>
  <r>
    <s v="ST1104"/>
    <s v="WellTrack"/>
    <x v="2"/>
    <s v="Mobile Platform"/>
    <s v="Urban Millennials"/>
    <x v="0"/>
    <n v="44046905976"/>
    <s v="Strong Founding Team"/>
    <s v="Limited Funding"/>
    <s v="Untapped Segments"/>
    <s v="Regulatory Changes"/>
    <n v="3"/>
    <n v="3"/>
    <n v="9"/>
    <n v="9"/>
    <n v="3"/>
    <n v="7"/>
    <n v="3"/>
    <x v="2"/>
    <n v="49"/>
    <n v="5.666666666666667"/>
    <n v="52.833333333333336"/>
    <n v="56.933333333333337"/>
    <n v="57.166666666666671"/>
    <n v="0"/>
    <x v="0"/>
  </r>
  <r>
    <s v="ST1105"/>
    <s v="WellTrack"/>
    <x v="2"/>
    <s v="SaaS Tool"/>
    <s v="SMBs"/>
    <x v="3"/>
    <n v="38336398197"/>
    <s v="Strong IP"/>
    <s v="Regulatory Exposure"/>
    <s v="Partnership Channels"/>
    <s v="Changing Customer Behaviour"/>
    <n v="7"/>
    <n v="3"/>
    <n v="7"/>
    <n v="3"/>
    <n v="8"/>
    <n v="4"/>
    <n v="4"/>
    <x v="2"/>
    <n v="43"/>
    <n v="5.333333333333333"/>
    <n v="48.166666666666664"/>
    <n v="50.86666666666666"/>
    <n v="50.333333333333329"/>
    <n v="0"/>
    <x v="0"/>
  </r>
  <r>
    <s v="ST1106"/>
    <s v="MediGo"/>
    <x v="2"/>
    <s v="Subscription App"/>
    <s v="Urban Millennials"/>
    <x v="3"/>
    <n v="30352319021"/>
    <s v="Strong IP"/>
    <s v="Low Brand Awareness"/>
    <s v="Partnership Channels"/>
    <s v="Funding Crunch"/>
    <n v="6"/>
    <n v="4"/>
    <n v="3"/>
    <n v="8"/>
    <n v="4"/>
    <n v="6"/>
    <n v="8"/>
    <x v="1"/>
    <n v="79"/>
    <n v="5.166666666666667"/>
    <n v="65.333333333333343"/>
    <n v="54.683333333333337"/>
    <n v="55.041666666666671"/>
    <n v="1"/>
    <x v="0"/>
  </r>
  <r>
    <s v="ST1107"/>
    <s v="GreenFlow"/>
    <x v="1"/>
    <s v="Subscription App"/>
    <s v="Rural Consumers"/>
    <x v="4"/>
    <n v="39291524642"/>
    <s v="First-Mover Advantage"/>
    <s v="High Burn Rate"/>
    <s v="Growing Market Demand"/>
    <s v="Changing Customer Behaviour"/>
    <n v="9"/>
    <n v="3"/>
    <n v="3"/>
    <n v="10"/>
    <n v="7"/>
    <n v="8"/>
    <n v="7"/>
    <x v="0"/>
    <n v="75"/>
    <n v="6.666666666666667"/>
    <n v="70.833333333333343"/>
    <n v="60.833333333333329"/>
    <n v="58.916666666666664"/>
    <n v="0"/>
    <x v="0"/>
  </r>
  <r>
    <s v="ST1108"/>
    <s v="CareLoop"/>
    <x v="2"/>
    <s v="SaaS Tool"/>
    <s v="Students"/>
    <x v="1"/>
    <n v="23932836558"/>
    <s v="Low-Cost Model"/>
    <s v="Limited Funding"/>
    <s v="Government Incentives"/>
    <s v="Funding Crunch"/>
    <n v="9"/>
    <n v="4"/>
    <n v="9"/>
    <n v="9"/>
    <n v="3"/>
    <n v="8"/>
    <n v="5"/>
    <x v="2"/>
    <n v="87"/>
    <n v="7"/>
    <n v="78.5"/>
    <n v="71.800000000000011"/>
    <n v="72"/>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D5BDF8-CBAE-4C11-BCF2-536EFA8A15ED}" name="pt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O3" firstHeaderRow="0" firstDataRow="1" firstDataCol="1"/>
  <pivotFields count="26">
    <pivotField showAll="0"/>
    <pivotField showAll="0"/>
    <pivotField showAll="0">
      <items count="7">
        <item x="0"/>
        <item x="1"/>
        <item x="5"/>
        <item x="4"/>
        <item x="2"/>
        <item x="3"/>
        <item t="default"/>
      </items>
    </pivotField>
    <pivotField showAll="0"/>
    <pivotField showAll="0"/>
    <pivotField showAll="0">
      <items count="6">
        <item x="4"/>
        <item x="0"/>
        <item x="3"/>
        <item x="2"/>
        <item x="1"/>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items count="4">
        <item x="1"/>
        <item x="2"/>
        <item x="0"/>
        <item t="default"/>
      </items>
    </pivotField>
    <pivotField showAll="0"/>
    <pivotField showAll="0"/>
    <pivotField showAll="0"/>
    <pivotField showAll="0"/>
    <pivotField showAll="0"/>
    <pivotField showAll="0"/>
    <pivotField axis="axisRow" showAll="0">
      <items count="2">
        <item x="0"/>
        <item t="default"/>
      </items>
    </pivotField>
  </pivotFields>
  <rowFields count="1">
    <field x="25"/>
  </rowFields>
  <rowItems count="2">
    <i>
      <x/>
    </i>
    <i t="grand">
      <x/>
    </i>
  </rowItems>
  <colFields count="1">
    <field x="-2"/>
  </colFields>
  <colItems count="6">
    <i>
      <x/>
    </i>
    <i i="1">
      <x v="1"/>
    </i>
    <i i="2">
      <x v="2"/>
    </i>
    <i i="3">
      <x v="3"/>
    </i>
    <i i="4">
      <x v="4"/>
    </i>
    <i i="5">
      <x v="5"/>
    </i>
  </colItems>
  <dataFields count="6">
    <dataField name="Political" fld="11" subtotal="average" baseField="0" baseItem="0"/>
    <dataField name="Economic" fld="12" subtotal="average" baseField="0" baseItem="0"/>
    <dataField name="Social" fld="13" subtotal="average" baseField="0" baseItem="0"/>
    <dataField name="Technological" fld="14" subtotal="average" baseField="0" baseItem="0"/>
    <dataField name="Legal" fld="15" subtotal="average" baseField="0" baseItem="0"/>
    <dataField name="Environmental" fld="16"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B8009C-D2E7-4166-B525-A29620232E3A}" name="p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3" firstHeaderRow="0" firstDataRow="1" firstDataCol="1"/>
  <pivotFields count="26">
    <pivotField showAll="0"/>
    <pivotField showAll="0"/>
    <pivotField showAll="0">
      <items count="7">
        <item x="0"/>
        <item x="1"/>
        <item x="5"/>
        <item x="4"/>
        <item x="2"/>
        <item x="3"/>
        <item t="default"/>
      </items>
    </pivotField>
    <pivotField showAll="0"/>
    <pivotField showAll="0"/>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pivotField dataField="1" showAll="0"/>
    <pivotField dataField="1" showAll="0"/>
    <pivotField dataField="1" showAll="0"/>
    <pivotField dataField="1" showAll="0"/>
    <pivotField axis="axisRow" showAll="0">
      <items count="2">
        <item x="0"/>
        <item t="default"/>
      </items>
    </pivotField>
  </pivotFields>
  <rowFields count="1">
    <field x="25"/>
  </rowFields>
  <rowItems count="2">
    <i>
      <x/>
    </i>
    <i t="grand">
      <x/>
    </i>
  </rowItems>
  <colFields count="1">
    <field x="-2"/>
  </colFields>
  <colItems count="5">
    <i>
      <x/>
    </i>
    <i i="1">
      <x v="1"/>
    </i>
    <i i="2">
      <x v="2"/>
    </i>
    <i i="3">
      <x v="3"/>
    </i>
    <i i="4">
      <x v="4"/>
    </i>
  </colItems>
  <dataFields count="5">
    <dataField name="Avg Viability" fld="22" subtotal="average" baseField="0" baseItem="0" numFmtId="164"/>
    <dataField name="Avg Growth Potential" fld="19" subtotal="average" baseField="0" baseItem="0" numFmtId="164"/>
    <dataField name="High-Risk %" fld="24" subtotal="average" baseField="0" baseItem="0" numFmtId="165"/>
    <dataField name="Avg Opportunity Score" fld="21" subtotal="average" baseField="0" baseItem="0" numFmtId="164"/>
    <dataField name="Avg Investment Score" fld="2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88C06-C765-4A21-8D71-8ECDEC58F5ED}" name="pt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76:J83" firstHeaderRow="1" firstDataRow="1" firstDataCol="1"/>
  <pivotFields count="26">
    <pivotField showAll="0"/>
    <pivotField showAll="0"/>
    <pivotField axis="axisRow" showAll="0">
      <items count="7">
        <item x="0"/>
        <item x="1"/>
        <item x="5"/>
        <item x="4"/>
        <item x="2"/>
        <item x="3"/>
        <item t="default"/>
      </items>
    </pivotField>
    <pivotField showAll="0"/>
    <pivotField showAll="0"/>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Avg Intensity" fld="17"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0AB49-B7C6-4B36-BA06-8F302AFB9911}" name="p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1:J55" firstHeaderRow="1" firstDataRow="1" firstDataCol="1"/>
  <pivotFields count="26">
    <pivotField dataField="1" showAll="0"/>
    <pivotField showAll="0"/>
    <pivotField showAll="0">
      <items count="7">
        <item x="0"/>
        <item x="1"/>
        <item x="5"/>
        <item x="4"/>
        <item x="2"/>
        <item x="3"/>
        <item t="default"/>
      </items>
    </pivotField>
    <pivotField showAll="0"/>
    <pivotField showAll="0"/>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18"/>
  </rowFields>
  <rowItems count="4">
    <i>
      <x/>
    </i>
    <i>
      <x v="1"/>
    </i>
    <i>
      <x v="2"/>
    </i>
    <i t="grand">
      <x/>
    </i>
  </rowItems>
  <colItems count="1">
    <i/>
  </colItems>
  <dataFields count="1">
    <dataField name="Count"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6876FE-9A79-44D4-B295-49C3E3F30C5F}" name="p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6:J33" firstHeaderRow="1" firstDataRow="1" firstDataCol="1"/>
  <pivotFields count="26">
    <pivotField showAll="0"/>
    <pivotField showAll="0"/>
    <pivotField axis="axisRow" showAll="0">
      <items count="7">
        <item x="0"/>
        <item x="1"/>
        <item x="5"/>
        <item x="4"/>
        <item x="2"/>
        <item x="3"/>
        <item t="default"/>
      </items>
    </pivotField>
    <pivotField showAll="0"/>
    <pivotField showAll="0"/>
    <pivotField showAll="0">
      <items count="6">
        <item x="4"/>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Avg Growth" fld="19"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16B02490-E61A-46ED-AC77-9EE4C2A069FB}" sourceName="Industry">
  <pivotTables>
    <pivotTable tabId="2" name="ptKPI"/>
    <pivotTable tabId="2" name="pt0"/>
    <pivotTable tabId="2" name="pt1"/>
    <pivotTable tabId="2" name="pt2"/>
    <pivotTable tabId="2" name="pt3"/>
  </pivotTables>
  <data>
    <tabular pivotCacheId="2041407506">
      <items count="6">
        <i x="0" s="1"/>
        <i x="1" s="1"/>
        <i x="5"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B7D59798-7271-41E8-A444-C5136B816467}" sourceName="Risk Level">
  <pivotTables>
    <pivotTable tabId="2" name="ptKPI"/>
    <pivotTable tabId="2" name="pt0"/>
    <pivotTable tabId="2" name="pt1"/>
    <pivotTable tabId="2" name="pt2"/>
    <pivotTable tabId="2" name="pt3"/>
  </pivotTables>
  <data>
    <tabular pivotCacheId="204140750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26D13A-C555-4179-A47D-79D0D23E53E9}" sourceName="Region">
  <pivotTables>
    <pivotTable tabId="2" name="ptKPI"/>
    <pivotTable tabId="2" name="pt0"/>
    <pivotTable tabId="2" name="pt1"/>
    <pivotTable tabId="2" name="pt2"/>
    <pivotTable tabId="2" name="pt3"/>
  </pivotTables>
  <data>
    <tabular pivotCacheId="2041407506">
      <items count="5">
        <i x="4" s="1"/>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61B545C8-2C40-40BD-B3A2-8D3DB0D61BC5}" cache="Slicer_Industry" caption="Industry" style="SlicerStyleLight2" rowHeight="249238"/>
  <slicer name="Risk Level" xr10:uid="{689AB935-33B2-4499-A0A2-942002524EC8}" cache="Slicer_Risk_Level" caption="Risk Level" style="SlicerStyleLight2" rowHeight="249238"/>
  <slicer name="Region" xr10:uid="{3EDC5D96-1C04-4418-9FCF-23917E68CBF3}" cache="Slicer_Region" caption="Region" startItem="1" style="SlicerStyleLight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0C6EEE-2D7E-4679-86D7-343090F4B838}" name="tblStartup" displayName="tblStartup" ref="A1:Z109" totalsRowShown="0">
  <autoFilter ref="A1:Z109" xr:uid="{040C6EEE-2D7E-4679-86D7-343090F4B838}"/>
  <tableColumns count="26">
    <tableColumn id="1" xr3:uid="{D0677F7B-F982-48AE-BF71-2DBF81E1D0FB}" name="Startup ID"/>
    <tableColumn id="2" xr3:uid="{51D100A0-A596-4F4B-AFAE-09716016B851}" name="Startup Name"/>
    <tableColumn id="3" xr3:uid="{ABB45AB0-D8B8-48F4-8251-1BBD1449BBAC}" name="Industry"/>
    <tableColumn id="4" xr3:uid="{C948524F-0E11-446E-BF67-F80BBAA289D6}" name="Product/Service"/>
    <tableColumn id="5" xr3:uid="{32383874-5BDE-4A12-864E-51DDC8617AB0}" name="Target Customer Segment"/>
    <tableColumn id="6" xr3:uid="{9AC2D968-B9BA-4A0E-B624-FD5EBD169CA9}" name="Region"/>
    <tableColumn id="7" xr3:uid="{C32636DE-2350-4630-B15E-3C3C90F36BBB}" name="Market Size Estimate"/>
    <tableColumn id="8" xr3:uid="{BE118155-1C58-4CA8-84FE-10256CAE87F7}" name="Startup Strength"/>
    <tableColumn id="9" xr3:uid="{DC22FBB0-760D-4179-ABA5-E222352A946C}" name="Startup Weakness"/>
    <tableColumn id="10" xr3:uid="{CB325FE8-317A-4A01-9345-C462FCF1AFA6}" name="Market Opportunity"/>
    <tableColumn id="11" xr3:uid="{09664534-1020-4A5D-ADD6-70FA58E80FDD}" name="Market Threat"/>
    <tableColumn id="12" xr3:uid="{1F16CF88-F25E-4B54-A08F-8474581EF0A2}" name="Political Impact Score"/>
    <tableColumn id="13" xr3:uid="{789E352F-B969-4542-9559-9062FEE6EC71}" name="Economic Impact Score"/>
    <tableColumn id="14" xr3:uid="{340000B5-BDD3-4129-934B-FE79253B717D}" name="Social Impact Score"/>
    <tableColumn id="15" xr3:uid="{9210E809-945C-4044-ADD7-1A61ED221B4F}" name="Technological Impact Score"/>
    <tableColumn id="16" xr3:uid="{F42CFA08-476A-4E6F-B46A-82ACB9E7B803}" name="Legal Impact Score"/>
    <tableColumn id="17" xr3:uid="{1DE53D1E-8949-424A-A8E8-72E30A71F188}" name="Environmental Impact Score"/>
    <tableColumn id="18" xr3:uid="{7535C509-7EAA-450A-8A37-A98620043CDD}" name="Competitive Intensity Score"/>
    <tableColumn id="19" xr3:uid="{6728B4B6-CD70-4C88-B736-3E3A71F8D426}" name="Risk Level"/>
    <tableColumn id="20" xr3:uid="{BB678CE8-12E7-475D-948C-A051AF0DABBC}" name="Growth Potential Score"/>
    <tableColumn id="21" xr3:uid="{4A480C38-7F6A-4E70-A51C-3EB021A7D87F}" name="Macro"/>
    <tableColumn id="22" xr3:uid="{EBB8D31A-47F4-47AA-A82A-A182D4EBACE4}" name="Opportunity Score"/>
    <tableColumn id="23" xr3:uid="{01FFC30D-FBE9-42F5-A915-87F28D79EE59}" name="Viability"/>
    <tableColumn id="24" xr3:uid="{2B3C0729-5BA4-4181-A145-328E457E1C35}" name="Investment Score"/>
    <tableColumn id="25" xr3:uid="{10307AF2-2E22-4659-8BCA-02452CFE76CD}" name="Risk High"/>
    <tableColumn id="26" xr3:uid="{B1BF5F4D-0426-4C91-B842-328695C5FE96}" name="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F5A4-B14A-4E63-B7A7-61B79844BC45}">
  <sheetPr>
    <pageSetUpPr fitToPage="1"/>
  </sheetPr>
  <dimension ref="A1:O44"/>
  <sheetViews>
    <sheetView showGridLines="0" tabSelected="1" zoomScale="85" zoomScaleNormal="85" workbookViewId="0">
      <selection activeCell="U15" sqref="U15"/>
    </sheetView>
  </sheetViews>
  <sheetFormatPr defaultRowHeight="14.25" x14ac:dyDescent="0.45"/>
  <cols>
    <col min="1" max="15" width="9.59765625" customWidth="1"/>
  </cols>
  <sheetData>
    <row r="1" spans="1:15" ht="20" customHeight="1" x14ac:dyDescent="0.45">
      <c r="A1" s="12" t="s">
        <v>219</v>
      </c>
      <c r="B1" s="13"/>
      <c r="C1" s="13"/>
      <c r="D1" s="13"/>
      <c r="E1" s="13"/>
      <c r="F1" s="13"/>
      <c r="G1" s="13"/>
      <c r="H1" s="13"/>
      <c r="I1" s="13"/>
      <c r="J1" s="13"/>
      <c r="K1" s="13"/>
      <c r="L1" s="13"/>
      <c r="M1" s="13"/>
      <c r="N1" s="13"/>
      <c r="O1" s="13"/>
    </row>
    <row r="2" spans="1:15" ht="20" customHeight="1" x14ac:dyDescent="0.45">
      <c r="A2" s="13"/>
      <c r="B2" s="13"/>
      <c r="C2" s="13"/>
      <c r="D2" s="13"/>
      <c r="E2" s="13"/>
      <c r="F2" s="13"/>
      <c r="G2" s="13"/>
      <c r="H2" s="13"/>
      <c r="I2" s="13"/>
      <c r="J2" s="13"/>
      <c r="K2" s="13"/>
      <c r="L2" s="13"/>
      <c r="M2" s="13"/>
      <c r="N2" s="13"/>
      <c r="O2" s="13"/>
    </row>
    <row r="3" spans="1:15" ht="15.75" customHeight="1" x14ac:dyDescent="0.45">
      <c r="A3" s="14" t="s">
        <v>220</v>
      </c>
      <c r="B3" s="15"/>
      <c r="C3" s="15"/>
      <c r="D3" s="15"/>
      <c r="E3" s="15"/>
      <c r="F3" s="15"/>
      <c r="G3" s="15"/>
      <c r="H3" s="15"/>
      <c r="I3" s="15"/>
      <c r="J3" s="15"/>
      <c r="K3" s="15"/>
      <c r="L3" s="15"/>
      <c r="M3" s="15"/>
      <c r="N3" s="15"/>
      <c r="O3" s="15"/>
    </row>
    <row r="4" spans="1:15" ht="15" customHeight="1" x14ac:dyDescent="0.45">
      <c r="A4" s="6" t="s">
        <v>205</v>
      </c>
      <c r="B4" s="7"/>
      <c r="C4" s="7"/>
      <c r="D4" s="6" t="s">
        <v>206</v>
      </c>
      <c r="E4" s="7"/>
      <c r="F4" s="7"/>
      <c r="G4" s="6" t="s">
        <v>207</v>
      </c>
      <c r="H4" s="7"/>
      <c r="I4" s="7"/>
      <c r="J4" s="6" t="s">
        <v>208</v>
      </c>
      <c r="K4" s="7"/>
      <c r="L4" s="7"/>
      <c r="M4" s="6" t="s">
        <v>209</v>
      </c>
      <c r="N4" s="7"/>
      <c r="O4" s="8"/>
    </row>
    <row r="5" spans="1:15" ht="28.05" customHeight="1" x14ac:dyDescent="0.65">
      <c r="A5" s="16">
        <f>GETPIVOTDATA("Avg Viability",Pivots!$A$1)</f>
        <v>55.459104938271579</v>
      </c>
      <c r="B5" s="10"/>
      <c r="C5" s="10"/>
      <c r="D5" s="17">
        <f>GETPIVOTDATA("Avg Growth Potential",Pivots!$A$1)</f>
        <v>67.731481481481481</v>
      </c>
      <c r="E5" s="10"/>
      <c r="F5" s="10"/>
      <c r="G5" s="18">
        <f>GETPIVOTDATA("High-Risk %",Pivots!$A$1)</f>
        <v>0.42592592592592593</v>
      </c>
      <c r="H5" s="10"/>
      <c r="I5" s="10"/>
      <c r="J5" s="19">
        <f>GETPIVOTDATA("Avg Opportunity Score",Pivots!$A$1)</f>
        <v>62.484567901234556</v>
      </c>
      <c r="K5" s="10"/>
      <c r="L5" s="10"/>
      <c r="M5" s="9">
        <f>GETPIVOTDATA("Avg Investment Score",Pivots!$A$1)</f>
        <v>54.715663580246911</v>
      </c>
      <c r="N5" s="10"/>
      <c r="O5" s="11"/>
    </row>
    <row r="6" spans="1:15" ht="8" customHeight="1" x14ac:dyDescent="0.45">
      <c r="A6" s="5"/>
      <c r="B6" s="5"/>
      <c r="C6" s="5"/>
      <c r="D6" s="5"/>
      <c r="E6" s="5"/>
      <c r="F6" s="5"/>
      <c r="G6" s="5"/>
      <c r="H6" s="5"/>
      <c r="I6" s="5"/>
      <c r="J6" s="5"/>
      <c r="K6" s="5"/>
      <c r="L6" s="5"/>
      <c r="M6" s="5"/>
      <c r="N6" s="5"/>
      <c r="O6" s="5"/>
    </row>
    <row r="7" spans="1:15" x14ac:dyDescent="0.45">
      <c r="A7" s="5"/>
      <c r="B7" s="5"/>
      <c r="C7" s="5"/>
      <c r="D7" s="5"/>
      <c r="E7" s="5"/>
      <c r="F7" s="5"/>
      <c r="G7" s="5"/>
      <c r="H7" s="5"/>
      <c r="I7" s="5"/>
      <c r="J7" s="5"/>
      <c r="K7" s="5"/>
      <c r="L7" s="5"/>
      <c r="M7" s="5"/>
      <c r="N7" s="5"/>
      <c r="O7" s="5"/>
    </row>
    <row r="8" spans="1:15" x14ac:dyDescent="0.45">
      <c r="A8" s="5"/>
      <c r="B8" s="5"/>
      <c r="C8" s="5"/>
      <c r="D8" s="5"/>
      <c r="E8" s="5"/>
      <c r="F8" s="5"/>
      <c r="G8" s="5"/>
      <c r="H8" s="5"/>
      <c r="I8" s="5"/>
      <c r="J8" s="5"/>
      <c r="K8" s="5"/>
      <c r="L8" s="5"/>
      <c r="M8" s="5"/>
      <c r="N8" s="5"/>
      <c r="O8" s="5"/>
    </row>
    <row r="9" spans="1:15" x14ac:dyDescent="0.45">
      <c r="A9" s="5"/>
      <c r="B9" s="5"/>
      <c r="C9" s="5"/>
      <c r="D9" s="5"/>
      <c r="E9" s="5"/>
      <c r="F9" s="5"/>
      <c r="G9" s="5"/>
      <c r="H9" s="5"/>
      <c r="I9" s="5"/>
      <c r="J9" s="5"/>
      <c r="K9" s="5"/>
      <c r="L9" s="5"/>
      <c r="M9" s="5"/>
      <c r="N9" s="5"/>
      <c r="O9" s="5"/>
    </row>
    <row r="10" spans="1:15" x14ac:dyDescent="0.45">
      <c r="A10" s="5"/>
      <c r="B10" s="5"/>
      <c r="C10" s="5"/>
      <c r="D10" s="5"/>
      <c r="E10" s="5"/>
      <c r="F10" s="5"/>
      <c r="G10" s="5"/>
      <c r="H10" s="5"/>
      <c r="I10" s="5"/>
      <c r="J10" s="5"/>
      <c r="K10" s="5"/>
      <c r="L10" s="5"/>
      <c r="M10" s="5"/>
      <c r="N10" s="5"/>
      <c r="O10" s="5"/>
    </row>
    <row r="11" spans="1:15" x14ac:dyDescent="0.45">
      <c r="A11" s="5"/>
      <c r="B11" s="5"/>
      <c r="C11" s="5"/>
      <c r="D11" s="5"/>
      <c r="E11" s="5"/>
      <c r="F11" s="5"/>
      <c r="G11" s="5"/>
      <c r="H11" s="5"/>
      <c r="I11" s="5"/>
      <c r="J11" s="5"/>
      <c r="K11" s="5"/>
      <c r="L11" s="5"/>
      <c r="M11" s="5"/>
      <c r="N11" s="5"/>
      <c r="O11" s="5"/>
    </row>
    <row r="12" spans="1:15" x14ac:dyDescent="0.45">
      <c r="A12" s="5"/>
      <c r="B12" s="5"/>
      <c r="C12" s="5"/>
      <c r="D12" s="5"/>
      <c r="E12" s="5"/>
      <c r="F12" s="5"/>
      <c r="G12" s="5"/>
      <c r="H12" s="5"/>
      <c r="I12" s="5"/>
      <c r="J12" s="5"/>
      <c r="K12" s="5"/>
      <c r="L12" s="5"/>
      <c r="M12" s="5"/>
      <c r="N12" s="5"/>
      <c r="O12" s="5"/>
    </row>
    <row r="13" spans="1:15" x14ac:dyDescent="0.45">
      <c r="A13" s="5"/>
      <c r="B13" s="5"/>
      <c r="C13" s="5"/>
      <c r="D13" s="5"/>
      <c r="E13" s="5"/>
      <c r="F13" s="5"/>
      <c r="G13" s="5"/>
      <c r="H13" s="5"/>
      <c r="I13" s="5"/>
      <c r="J13" s="5"/>
      <c r="K13" s="5"/>
      <c r="L13" s="5"/>
      <c r="M13" s="5"/>
      <c r="N13" s="5"/>
      <c r="O13" s="5"/>
    </row>
    <row r="14" spans="1:15" x14ac:dyDescent="0.45">
      <c r="A14" s="5"/>
      <c r="B14" s="5"/>
      <c r="C14" s="5"/>
      <c r="D14" s="5"/>
      <c r="E14" s="5"/>
      <c r="F14" s="5"/>
      <c r="G14" s="5"/>
      <c r="H14" s="5"/>
      <c r="I14" s="5"/>
      <c r="J14" s="5"/>
      <c r="K14" s="5"/>
      <c r="L14" s="5"/>
      <c r="M14" s="5"/>
      <c r="N14" s="5"/>
      <c r="O14" s="5"/>
    </row>
    <row r="15" spans="1:15" x14ac:dyDescent="0.45">
      <c r="A15" s="5"/>
      <c r="B15" s="5"/>
      <c r="C15" s="5"/>
      <c r="D15" s="5"/>
      <c r="E15" s="5"/>
      <c r="F15" s="5"/>
      <c r="G15" s="5"/>
      <c r="H15" s="5"/>
      <c r="I15" s="5"/>
      <c r="J15" s="5"/>
      <c r="K15" s="5"/>
      <c r="L15" s="5"/>
      <c r="M15" s="5"/>
      <c r="N15" s="5"/>
      <c r="O15" s="5"/>
    </row>
    <row r="16" spans="1:15" x14ac:dyDescent="0.45">
      <c r="A16" s="5"/>
      <c r="B16" s="5"/>
      <c r="C16" s="5"/>
      <c r="D16" s="5"/>
      <c r="E16" s="5"/>
      <c r="F16" s="5"/>
      <c r="G16" s="5"/>
      <c r="H16" s="5"/>
      <c r="I16" s="5"/>
      <c r="J16" s="5"/>
      <c r="K16" s="5"/>
      <c r="L16" s="5"/>
      <c r="M16" s="5"/>
      <c r="N16" s="5"/>
      <c r="O16" s="5"/>
    </row>
    <row r="17" spans="1:15" x14ac:dyDescent="0.45">
      <c r="A17" s="5"/>
      <c r="B17" s="5"/>
      <c r="C17" s="5"/>
      <c r="D17" s="5"/>
      <c r="E17" s="5"/>
      <c r="F17" s="5"/>
      <c r="G17" s="5"/>
      <c r="H17" s="5"/>
      <c r="I17" s="5"/>
      <c r="J17" s="5"/>
      <c r="K17" s="5"/>
      <c r="L17" s="5"/>
      <c r="M17" s="5"/>
      <c r="N17" s="5"/>
      <c r="O17" s="5"/>
    </row>
    <row r="18" spans="1:15" x14ac:dyDescent="0.45">
      <c r="A18" s="5"/>
      <c r="B18" s="5"/>
      <c r="C18" s="5"/>
      <c r="D18" s="5"/>
      <c r="E18" s="5"/>
      <c r="F18" s="5"/>
      <c r="G18" s="5"/>
      <c r="H18" s="5"/>
      <c r="I18" s="5"/>
      <c r="J18" s="5"/>
      <c r="K18" s="5"/>
      <c r="L18" s="5"/>
      <c r="M18" s="5"/>
      <c r="N18" s="5"/>
      <c r="O18" s="5"/>
    </row>
    <row r="19" spans="1:15" x14ac:dyDescent="0.45">
      <c r="A19" s="5"/>
      <c r="B19" s="5"/>
      <c r="C19" s="5"/>
      <c r="D19" s="5"/>
      <c r="E19" s="5"/>
      <c r="F19" s="5"/>
      <c r="G19" s="5"/>
      <c r="H19" s="5"/>
      <c r="I19" s="5"/>
      <c r="J19" s="5"/>
      <c r="K19" s="5"/>
      <c r="L19" s="5"/>
      <c r="M19" s="5"/>
      <c r="N19" s="5"/>
      <c r="O19" s="5"/>
    </row>
    <row r="20" spans="1:15" x14ac:dyDescent="0.45">
      <c r="A20" s="5"/>
      <c r="B20" s="5"/>
      <c r="C20" s="5"/>
      <c r="D20" s="5"/>
      <c r="E20" s="5"/>
      <c r="F20" s="5"/>
      <c r="G20" s="5"/>
      <c r="H20" s="5"/>
      <c r="I20" s="5"/>
      <c r="J20" s="5"/>
      <c r="K20" s="5"/>
      <c r="L20" s="5"/>
      <c r="M20" s="5"/>
      <c r="N20" s="5"/>
      <c r="O20" s="5"/>
    </row>
    <row r="21" spans="1:15" x14ac:dyDescent="0.45">
      <c r="A21" s="5"/>
      <c r="B21" s="5"/>
      <c r="C21" s="5"/>
      <c r="D21" s="5"/>
      <c r="E21" s="5"/>
      <c r="F21" s="5"/>
      <c r="G21" s="5"/>
      <c r="H21" s="5"/>
      <c r="I21" s="5"/>
      <c r="J21" s="5"/>
      <c r="K21" s="5"/>
      <c r="L21" s="5"/>
      <c r="M21" s="5"/>
      <c r="N21" s="5"/>
      <c r="O21" s="5"/>
    </row>
    <row r="22" spans="1:15" x14ac:dyDescent="0.45">
      <c r="A22" s="5"/>
      <c r="B22" s="5"/>
      <c r="C22" s="5"/>
      <c r="D22" s="5"/>
      <c r="E22" s="5"/>
      <c r="F22" s="5"/>
      <c r="G22" s="5"/>
      <c r="H22" s="5"/>
      <c r="I22" s="5"/>
      <c r="J22" s="5"/>
      <c r="K22" s="5"/>
      <c r="L22" s="5"/>
      <c r="M22" s="5"/>
      <c r="N22" s="5"/>
      <c r="O22" s="5"/>
    </row>
    <row r="23" spans="1:15" x14ac:dyDescent="0.45">
      <c r="A23" s="5"/>
      <c r="B23" s="5"/>
      <c r="C23" s="5"/>
      <c r="D23" s="5"/>
      <c r="E23" s="5"/>
      <c r="F23" s="5"/>
      <c r="G23" s="5"/>
      <c r="H23" s="5"/>
      <c r="I23" s="5"/>
      <c r="J23" s="5"/>
      <c r="K23" s="5"/>
      <c r="L23" s="5"/>
      <c r="M23" s="5"/>
      <c r="N23" s="5"/>
      <c r="O23" s="5"/>
    </row>
    <row r="24" spans="1:15" x14ac:dyDescent="0.45">
      <c r="A24" s="5"/>
      <c r="B24" s="5"/>
      <c r="C24" s="5"/>
      <c r="D24" s="5"/>
      <c r="E24" s="5"/>
      <c r="F24" s="5"/>
      <c r="G24" s="5"/>
      <c r="H24" s="5"/>
      <c r="I24" s="5"/>
      <c r="J24" s="5"/>
      <c r="K24" s="5"/>
      <c r="L24" s="5"/>
      <c r="M24" s="5"/>
      <c r="N24" s="5"/>
      <c r="O24" s="5"/>
    </row>
    <row r="25" spans="1:15" x14ac:dyDescent="0.45">
      <c r="A25" s="5"/>
      <c r="B25" s="5"/>
      <c r="C25" s="5"/>
      <c r="D25" s="5"/>
      <c r="E25" s="5"/>
      <c r="F25" s="5"/>
      <c r="G25" s="5"/>
      <c r="H25" s="5"/>
      <c r="I25" s="5"/>
      <c r="J25" s="5"/>
      <c r="K25" s="5"/>
      <c r="L25" s="5"/>
      <c r="M25" s="5"/>
      <c r="N25" s="5"/>
      <c r="O25" s="5"/>
    </row>
    <row r="26" spans="1:15" x14ac:dyDescent="0.45">
      <c r="A26" s="5"/>
      <c r="B26" s="5"/>
      <c r="C26" s="5"/>
      <c r="D26" s="5"/>
      <c r="E26" s="5"/>
      <c r="F26" s="5"/>
      <c r="G26" s="5"/>
      <c r="H26" s="5"/>
      <c r="I26" s="5"/>
      <c r="J26" s="5"/>
      <c r="K26" s="5"/>
      <c r="L26" s="5"/>
      <c r="M26" s="5"/>
      <c r="N26" s="5"/>
      <c r="O26" s="5"/>
    </row>
    <row r="27" spans="1:15" x14ac:dyDescent="0.45">
      <c r="A27" s="5"/>
      <c r="B27" s="5"/>
      <c r="C27" s="5"/>
      <c r="D27" s="5"/>
      <c r="E27" s="5"/>
      <c r="F27" s="5"/>
      <c r="G27" s="5"/>
      <c r="H27" s="5"/>
      <c r="I27" s="5"/>
      <c r="J27" s="5"/>
      <c r="K27" s="5"/>
      <c r="L27" s="5"/>
      <c r="M27" s="5"/>
      <c r="N27" s="5"/>
      <c r="O27" s="5"/>
    </row>
    <row r="28" spans="1:15" x14ac:dyDescent="0.45">
      <c r="A28" s="5"/>
      <c r="B28" s="5"/>
      <c r="C28" s="5"/>
      <c r="D28" s="5"/>
      <c r="E28" s="5"/>
      <c r="F28" s="5"/>
      <c r="G28" s="5"/>
      <c r="H28" s="5"/>
      <c r="I28" s="5"/>
      <c r="J28" s="5"/>
      <c r="K28" s="5"/>
      <c r="L28" s="5"/>
      <c r="M28" s="5"/>
      <c r="N28" s="5"/>
      <c r="O28" s="5"/>
    </row>
    <row r="29" spans="1:15" x14ac:dyDescent="0.45">
      <c r="A29" s="5"/>
      <c r="B29" s="5"/>
      <c r="C29" s="5"/>
      <c r="D29" s="5"/>
      <c r="E29" s="5"/>
      <c r="F29" s="5"/>
      <c r="G29" s="5"/>
      <c r="H29" s="5"/>
      <c r="I29" s="5"/>
      <c r="J29" s="5"/>
      <c r="K29" s="5"/>
      <c r="L29" s="5"/>
      <c r="M29" s="5"/>
      <c r="N29" s="5"/>
      <c r="O29" s="5"/>
    </row>
    <row r="30" spans="1:15" x14ac:dyDescent="0.45">
      <c r="A30" s="5"/>
      <c r="B30" s="5"/>
      <c r="C30" s="5"/>
      <c r="D30" s="5"/>
      <c r="E30" s="5"/>
      <c r="F30" s="5"/>
      <c r="G30" s="5"/>
      <c r="H30" s="5"/>
      <c r="I30" s="5"/>
      <c r="J30" s="5"/>
      <c r="K30" s="5"/>
      <c r="L30" s="5"/>
      <c r="M30" s="5"/>
      <c r="N30" s="5"/>
      <c r="O30" s="5"/>
    </row>
    <row r="31" spans="1:15" x14ac:dyDescent="0.45">
      <c r="A31" s="5"/>
      <c r="B31" s="5"/>
      <c r="C31" s="5"/>
      <c r="D31" s="5"/>
      <c r="E31" s="5"/>
      <c r="F31" s="5"/>
      <c r="G31" s="5"/>
      <c r="H31" s="5"/>
      <c r="I31" s="5"/>
      <c r="J31" s="5"/>
      <c r="K31" s="5"/>
      <c r="L31" s="5"/>
      <c r="M31" s="5"/>
      <c r="N31" s="5"/>
      <c r="O31" s="5"/>
    </row>
    <row r="32" spans="1:15" x14ac:dyDescent="0.45">
      <c r="A32" s="5"/>
      <c r="B32" s="5"/>
      <c r="C32" s="5"/>
      <c r="D32" s="5"/>
      <c r="E32" s="5"/>
      <c r="F32" s="5"/>
      <c r="G32" s="5"/>
      <c r="H32" s="5"/>
      <c r="I32" s="5"/>
      <c r="J32" s="5"/>
      <c r="K32" s="5"/>
      <c r="L32" s="5"/>
      <c r="M32" s="5"/>
      <c r="N32" s="5"/>
      <c r="O32" s="5"/>
    </row>
    <row r="33" spans="1:15" x14ac:dyDescent="0.45">
      <c r="A33" s="5"/>
      <c r="B33" s="5"/>
      <c r="C33" s="5"/>
      <c r="D33" s="5"/>
      <c r="E33" s="5"/>
      <c r="F33" s="5"/>
      <c r="G33" s="5"/>
      <c r="H33" s="5"/>
      <c r="I33" s="5"/>
      <c r="J33" s="5"/>
      <c r="K33" s="5"/>
      <c r="L33" s="5"/>
      <c r="M33" s="5"/>
      <c r="N33" s="5"/>
      <c r="O33" s="5"/>
    </row>
    <row r="34" spans="1:15" x14ac:dyDescent="0.45">
      <c r="A34" s="5"/>
      <c r="B34" s="5"/>
      <c r="C34" s="5"/>
      <c r="D34" s="5"/>
      <c r="E34" s="5"/>
      <c r="F34" s="5"/>
      <c r="G34" s="5"/>
      <c r="H34" s="5"/>
      <c r="I34" s="5"/>
      <c r="J34" s="5"/>
      <c r="K34" s="5"/>
      <c r="L34" s="5"/>
      <c r="M34" s="5"/>
      <c r="N34" s="5"/>
      <c r="O34" s="5"/>
    </row>
    <row r="35" spans="1:15" x14ac:dyDescent="0.45">
      <c r="A35" s="5"/>
      <c r="B35" s="5"/>
      <c r="C35" s="5"/>
      <c r="D35" s="5"/>
      <c r="E35" s="5"/>
      <c r="F35" s="5"/>
      <c r="G35" s="5"/>
      <c r="H35" s="5"/>
      <c r="I35" s="5"/>
      <c r="J35" s="5"/>
      <c r="K35" s="5"/>
      <c r="L35" s="5"/>
      <c r="M35" s="5"/>
      <c r="N35" s="5"/>
      <c r="O35" s="5"/>
    </row>
    <row r="36" spans="1:15" x14ac:dyDescent="0.45">
      <c r="A36" s="5"/>
      <c r="B36" s="5"/>
      <c r="C36" s="5"/>
      <c r="D36" s="5"/>
      <c r="E36" s="5"/>
      <c r="F36" s="5"/>
      <c r="G36" s="5"/>
      <c r="H36" s="5"/>
      <c r="I36" s="5"/>
      <c r="J36" s="5"/>
      <c r="K36" s="5"/>
      <c r="L36" s="5"/>
      <c r="M36" s="5"/>
      <c r="N36" s="5"/>
      <c r="O36" s="5"/>
    </row>
    <row r="37" spans="1:15" x14ac:dyDescent="0.45">
      <c r="A37" s="5"/>
      <c r="B37" s="5"/>
      <c r="C37" s="5"/>
      <c r="D37" s="5"/>
      <c r="E37" s="5"/>
      <c r="F37" s="5"/>
      <c r="G37" s="5"/>
      <c r="H37" s="5"/>
      <c r="I37" s="5"/>
      <c r="J37" s="5"/>
      <c r="K37" s="5"/>
      <c r="L37" s="5"/>
      <c r="M37" s="5"/>
      <c r="N37" s="5"/>
      <c r="O37" s="5"/>
    </row>
    <row r="38" spans="1:15" x14ac:dyDescent="0.45">
      <c r="A38" s="5"/>
      <c r="B38" s="5"/>
      <c r="C38" s="5"/>
      <c r="D38" s="5"/>
      <c r="E38" s="5"/>
      <c r="F38" s="5"/>
      <c r="G38" s="5"/>
      <c r="H38" s="5"/>
      <c r="I38" s="5"/>
      <c r="J38" s="5"/>
      <c r="K38" s="5"/>
      <c r="L38" s="5"/>
      <c r="M38" s="5"/>
      <c r="N38" s="5"/>
      <c r="O38" s="5"/>
    </row>
    <row r="39" spans="1:15" x14ac:dyDescent="0.45">
      <c r="A39" s="5"/>
      <c r="B39" s="5"/>
      <c r="C39" s="5"/>
      <c r="D39" s="5"/>
      <c r="E39" s="5"/>
      <c r="F39" s="5"/>
      <c r="G39" s="5"/>
      <c r="H39" s="5"/>
      <c r="I39" s="5"/>
      <c r="J39" s="5"/>
      <c r="K39" s="5"/>
      <c r="L39" s="5"/>
      <c r="M39" s="5"/>
      <c r="N39" s="5"/>
      <c r="O39" s="5"/>
    </row>
    <row r="40" spans="1:15" x14ac:dyDescent="0.45">
      <c r="A40" s="5"/>
      <c r="B40" s="5"/>
      <c r="C40" s="5"/>
      <c r="D40" s="5"/>
      <c r="E40" s="5"/>
      <c r="F40" s="5"/>
      <c r="G40" s="5"/>
      <c r="H40" s="5"/>
      <c r="I40" s="5"/>
      <c r="J40" s="5"/>
      <c r="K40" s="5"/>
      <c r="L40" s="5"/>
      <c r="M40" s="5"/>
      <c r="N40" s="5"/>
      <c r="O40" s="5"/>
    </row>
    <row r="41" spans="1:15" x14ac:dyDescent="0.45">
      <c r="A41" s="5"/>
      <c r="B41" s="5"/>
      <c r="C41" s="5"/>
      <c r="D41" s="5"/>
      <c r="E41" s="5"/>
      <c r="F41" s="5"/>
      <c r="G41" s="5"/>
      <c r="H41" s="5"/>
      <c r="I41" s="5"/>
      <c r="J41" s="5"/>
      <c r="K41" s="5"/>
      <c r="L41" s="5"/>
      <c r="M41" s="5"/>
      <c r="N41" s="5"/>
      <c r="O41" s="5"/>
    </row>
    <row r="42" spans="1:15" x14ac:dyDescent="0.45">
      <c r="A42" s="5"/>
      <c r="B42" s="5"/>
      <c r="C42" s="5"/>
      <c r="D42" s="5"/>
      <c r="E42" s="5"/>
      <c r="F42" s="5"/>
      <c r="G42" s="5"/>
      <c r="H42" s="5"/>
      <c r="I42" s="5"/>
      <c r="J42" s="5"/>
      <c r="K42" s="5"/>
      <c r="L42" s="5"/>
      <c r="M42" s="5"/>
      <c r="N42" s="5"/>
      <c r="O42" s="5"/>
    </row>
    <row r="43" spans="1:15" x14ac:dyDescent="0.45">
      <c r="A43" s="5"/>
      <c r="B43" s="5"/>
      <c r="C43" s="5"/>
      <c r="D43" s="5"/>
      <c r="E43" s="5"/>
      <c r="F43" s="5"/>
      <c r="G43" s="5"/>
      <c r="H43" s="5"/>
      <c r="I43" s="5"/>
      <c r="J43" s="5"/>
      <c r="K43" s="5"/>
      <c r="L43" s="5"/>
      <c r="M43" s="5"/>
      <c r="N43" s="5"/>
      <c r="O43" s="5"/>
    </row>
    <row r="44" spans="1:15" x14ac:dyDescent="0.45">
      <c r="A44" s="5"/>
      <c r="B44" s="5"/>
      <c r="C44" s="5"/>
      <c r="D44" s="5"/>
      <c r="E44" s="5"/>
      <c r="F44" s="5"/>
      <c r="G44" s="5"/>
      <c r="H44" s="5"/>
      <c r="I44" s="5"/>
      <c r="J44" s="5"/>
      <c r="K44" s="5"/>
      <c r="L44" s="5"/>
      <c r="M44" s="5"/>
      <c r="N44" s="5"/>
      <c r="O44" s="5"/>
    </row>
  </sheetData>
  <mergeCells count="12">
    <mergeCell ref="M4:O4"/>
    <mergeCell ref="M5:O5"/>
    <mergeCell ref="A1:O2"/>
    <mergeCell ref="A3:O3"/>
    <mergeCell ref="A4:C4"/>
    <mergeCell ref="A5:C5"/>
    <mergeCell ref="D4:F4"/>
    <mergeCell ref="D5:F5"/>
    <mergeCell ref="G4:I4"/>
    <mergeCell ref="G5:I5"/>
    <mergeCell ref="J4:L4"/>
    <mergeCell ref="J5:L5"/>
  </mergeCells>
  <pageMargins left="0.2" right="0.2" top="0.2" bottom="0.2" header="0.3" footer="0.3"/>
  <pageSetup scale="85"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905C-B1FD-49F0-9398-DA56690F788D}">
  <dimension ref="A1:O83"/>
  <sheetViews>
    <sheetView workbookViewId="0"/>
  </sheetViews>
  <sheetFormatPr defaultRowHeight="14.25" x14ac:dyDescent="0.45"/>
  <cols>
    <col min="1" max="1" width="11.9296875" bestFit="1" customWidth="1"/>
    <col min="2" max="2" width="10.265625" bestFit="1" customWidth="1"/>
    <col min="3" max="3" width="17.3984375" bestFit="1" customWidth="1"/>
    <col min="4" max="4" width="10.1328125" bestFit="1" customWidth="1"/>
    <col min="5" max="5" width="18.46484375" bestFit="1" customWidth="1"/>
    <col min="6" max="6" width="18" bestFit="1" customWidth="1"/>
    <col min="9" max="9" width="11.9296875" bestFit="1" customWidth="1"/>
    <col min="10" max="10" width="5.53125" bestFit="1" customWidth="1"/>
    <col min="11" max="12" width="11.73046875" bestFit="1" customWidth="1"/>
    <col min="13" max="13" width="11.796875" bestFit="1" customWidth="1"/>
    <col min="14" max="14" width="11.73046875" bestFit="1" customWidth="1"/>
    <col min="15" max="15" width="12.33203125" bestFit="1" customWidth="1"/>
  </cols>
  <sheetData>
    <row r="1" spans="1:15" x14ac:dyDescent="0.45">
      <c r="A1" s="1" t="s">
        <v>203</v>
      </c>
      <c r="B1" t="s">
        <v>205</v>
      </c>
      <c r="C1" t="s">
        <v>206</v>
      </c>
      <c r="D1" t="s">
        <v>207</v>
      </c>
      <c r="E1" t="s">
        <v>208</v>
      </c>
      <c r="F1" t="s">
        <v>209</v>
      </c>
      <c r="I1" s="1" t="s">
        <v>203</v>
      </c>
      <c r="J1" t="s">
        <v>210</v>
      </c>
      <c r="K1" t="s">
        <v>211</v>
      </c>
      <c r="L1" t="s">
        <v>212</v>
      </c>
      <c r="M1" t="s">
        <v>213</v>
      </c>
      <c r="N1" t="s">
        <v>214</v>
      </c>
      <c r="O1" t="s">
        <v>215</v>
      </c>
    </row>
    <row r="2" spans="1:15" x14ac:dyDescent="0.45">
      <c r="A2" s="2" t="s">
        <v>37</v>
      </c>
      <c r="B2" s="3">
        <v>55.459104938271579</v>
      </c>
      <c r="C2" s="3">
        <v>67.731481481481481</v>
      </c>
      <c r="D2" s="4">
        <v>0.42592592592592593</v>
      </c>
      <c r="E2" s="3">
        <v>62.484567901234556</v>
      </c>
      <c r="F2" s="3">
        <v>54.715663580246911</v>
      </c>
      <c r="I2" s="2" t="s">
        <v>37</v>
      </c>
      <c r="J2">
        <v>5.7129629629629628</v>
      </c>
      <c r="K2">
        <v>5.4444444444444446</v>
      </c>
      <c r="L2">
        <v>5.3518518518518521</v>
      </c>
      <c r="M2">
        <v>6.75</v>
      </c>
      <c r="N2">
        <v>5.7314814814814818</v>
      </c>
      <c r="O2">
        <v>5.3518518518518521</v>
      </c>
    </row>
    <row r="3" spans="1:15" x14ac:dyDescent="0.45">
      <c r="A3" s="2" t="s">
        <v>204</v>
      </c>
      <c r="B3" s="3">
        <v>55.459104938271579</v>
      </c>
      <c r="C3" s="3">
        <v>67.731481481481481</v>
      </c>
      <c r="D3" s="4">
        <v>0.42592592592592593</v>
      </c>
      <c r="E3" s="3">
        <v>62.484567901234556</v>
      </c>
      <c r="F3" s="3">
        <v>54.715663580246911</v>
      </c>
      <c r="I3" s="2" t="s">
        <v>204</v>
      </c>
      <c r="J3">
        <v>5.7129629629629628</v>
      </c>
      <c r="K3">
        <v>5.4444444444444446</v>
      </c>
      <c r="L3">
        <v>5.3518518518518521</v>
      </c>
      <c r="M3">
        <v>6.75</v>
      </c>
      <c r="N3">
        <v>5.7314814814814818</v>
      </c>
      <c r="O3">
        <v>5.3518518518518521</v>
      </c>
    </row>
    <row r="26" spans="9:10" x14ac:dyDescent="0.45">
      <c r="I26" s="1" t="s">
        <v>203</v>
      </c>
      <c r="J26" t="s">
        <v>216</v>
      </c>
    </row>
    <row r="27" spans="9:10" x14ac:dyDescent="0.45">
      <c r="I27" s="2" t="s">
        <v>28</v>
      </c>
      <c r="J27">
        <v>65.650000000000006</v>
      </c>
    </row>
    <row r="28" spans="9:10" x14ac:dyDescent="0.45">
      <c r="I28" s="2" t="s">
        <v>40</v>
      </c>
      <c r="J28">
        <v>69.5</v>
      </c>
    </row>
    <row r="29" spans="9:10" x14ac:dyDescent="0.45">
      <c r="I29" s="2" t="s">
        <v>75</v>
      </c>
      <c r="J29">
        <v>61.1875</v>
      </c>
    </row>
    <row r="30" spans="9:10" x14ac:dyDescent="0.45">
      <c r="I30" s="2" t="s">
        <v>71</v>
      </c>
      <c r="J30">
        <v>75.86666666666666</v>
      </c>
    </row>
    <row r="31" spans="9:10" x14ac:dyDescent="0.45">
      <c r="I31" s="2" t="s">
        <v>58</v>
      </c>
      <c r="J31">
        <v>71.94736842105263</v>
      </c>
    </row>
    <row r="32" spans="9:10" x14ac:dyDescent="0.45">
      <c r="I32" s="2" t="s">
        <v>64</v>
      </c>
      <c r="J32">
        <v>62.666666666666664</v>
      </c>
    </row>
    <row r="33" spans="9:10" x14ac:dyDescent="0.45">
      <c r="I33" s="2" t="s">
        <v>204</v>
      </c>
      <c r="J33">
        <v>67.731481481481481</v>
      </c>
    </row>
    <row r="51" spans="9:10" x14ac:dyDescent="0.45">
      <c r="I51" s="1" t="s">
        <v>203</v>
      </c>
      <c r="J51" t="s">
        <v>217</v>
      </c>
    </row>
    <row r="52" spans="9:10" x14ac:dyDescent="0.45">
      <c r="I52" s="2" t="s">
        <v>48</v>
      </c>
      <c r="J52">
        <v>46</v>
      </c>
    </row>
    <row r="53" spans="9:10" x14ac:dyDescent="0.45">
      <c r="I53" s="2" t="s">
        <v>61</v>
      </c>
      <c r="J53">
        <v>23</v>
      </c>
    </row>
    <row r="54" spans="9:10" x14ac:dyDescent="0.45">
      <c r="I54" s="2" t="s">
        <v>36</v>
      </c>
      <c r="J54">
        <v>39</v>
      </c>
    </row>
    <row r="55" spans="9:10" x14ac:dyDescent="0.45">
      <c r="I55" s="2" t="s">
        <v>204</v>
      </c>
      <c r="J55">
        <v>108</v>
      </c>
    </row>
    <row r="76" spans="9:10" x14ac:dyDescent="0.45">
      <c r="I76" s="1" t="s">
        <v>203</v>
      </c>
      <c r="J76" t="s">
        <v>218</v>
      </c>
    </row>
    <row r="77" spans="9:10" x14ac:dyDescent="0.45">
      <c r="I77" s="2" t="s">
        <v>28</v>
      </c>
      <c r="J77">
        <v>6.75</v>
      </c>
    </row>
    <row r="78" spans="9:10" x14ac:dyDescent="0.45">
      <c r="I78" s="2" t="s">
        <v>40</v>
      </c>
      <c r="J78">
        <v>7.05</v>
      </c>
    </row>
    <row r="79" spans="9:10" x14ac:dyDescent="0.45">
      <c r="I79" s="2" t="s">
        <v>75</v>
      </c>
      <c r="J79">
        <v>6.5</v>
      </c>
    </row>
    <row r="80" spans="9:10" x14ac:dyDescent="0.45">
      <c r="I80" s="2" t="s">
        <v>71</v>
      </c>
      <c r="J80">
        <v>7.1333333333333337</v>
      </c>
    </row>
    <row r="81" spans="9:10" x14ac:dyDescent="0.45">
      <c r="I81" s="2" t="s">
        <v>58</v>
      </c>
      <c r="J81">
        <v>5.7894736842105265</v>
      </c>
    </row>
    <row r="82" spans="9:10" x14ac:dyDescent="0.45">
      <c r="I82" s="2" t="s">
        <v>64</v>
      </c>
      <c r="J82">
        <v>6.833333333333333</v>
      </c>
    </row>
    <row r="83" spans="9:10" x14ac:dyDescent="0.45">
      <c r="I83" s="2" t="s">
        <v>204</v>
      </c>
      <c r="J83">
        <v>6.666666666666667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6FD3-2E58-41D9-91D3-005AB3A41144}">
  <dimension ref="A1:Z109"/>
  <sheetViews>
    <sheetView workbookViewId="0"/>
  </sheetViews>
  <sheetFormatPr defaultRowHeight="14.25" x14ac:dyDescent="0.45"/>
  <cols>
    <col min="1" max="26" width="15.59765625" customWidth="1"/>
  </cols>
  <sheetData>
    <row r="1" spans="1:2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45">
      <c r="A2" t="s">
        <v>26</v>
      </c>
      <c r="B2" t="s">
        <v>27</v>
      </c>
      <c r="C2" t="s">
        <v>28</v>
      </c>
      <c r="D2" t="s">
        <v>29</v>
      </c>
      <c r="E2" t="s">
        <v>30</v>
      </c>
      <c r="F2" t="s">
        <v>31</v>
      </c>
      <c r="G2">
        <v>34241396297</v>
      </c>
      <c r="H2" t="s">
        <v>32</v>
      </c>
      <c r="I2" t="s">
        <v>33</v>
      </c>
      <c r="J2" t="s">
        <v>34</v>
      </c>
      <c r="K2" t="s">
        <v>35</v>
      </c>
      <c r="L2">
        <v>3</v>
      </c>
      <c r="M2">
        <v>2</v>
      </c>
      <c r="N2">
        <v>9</v>
      </c>
      <c r="O2">
        <v>4</v>
      </c>
      <c r="P2">
        <v>2</v>
      </c>
      <c r="Q2">
        <v>4</v>
      </c>
      <c r="R2">
        <v>5</v>
      </c>
      <c r="S2" t="s">
        <v>36</v>
      </c>
      <c r="T2">
        <v>46</v>
      </c>
      <c r="U2">
        <v>4</v>
      </c>
      <c r="V2">
        <v>43</v>
      </c>
      <c r="W2">
        <v>44.900000000000006</v>
      </c>
      <c r="X2">
        <v>46.25</v>
      </c>
      <c r="Y2">
        <v>0</v>
      </c>
      <c r="Z2" t="s">
        <v>37</v>
      </c>
    </row>
    <row r="3" spans="1:26" x14ac:dyDescent="0.45">
      <c r="A3" t="s">
        <v>38</v>
      </c>
      <c r="B3" t="s">
        <v>39</v>
      </c>
      <c r="C3" t="s">
        <v>40</v>
      </c>
      <c r="D3" t="s">
        <v>41</v>
      </c>
      <c r="E3" t="s">
        <v>42</v>
      </c>
      <c r="F3" t="s">
        <v>43</v>
      </c>
      <c r="G3">
        <v>37359321260</v>
      </c>
      <c r="H3" t="s">
        <v>44</v>
      </c>
      <c r="I3" t="s">
        <v>45</v>
      </c>
      <c r="J3" t="s">
        <v>46</v>
      </c>
      <c r="K3" t="s">
        <v>47</v>
      </c>
      <c r="L3">
        <v>5</v>
      </c>
      <c r="M3">
        <v>3</v>
      </c>
      <c r="N3">
        <v>2</v>
      </c>
      <c r="O3">
        <v>7</v>
      </c>
      <c r="P3">
        <v>3</v>
      </c>
      <c r="Q3">
        <v>8</v>
      </c>
      <c r="R3">
        <v>10</v>
      </c>
      <c r="S3" t="s">
        <v>48</v>
      </c>
      <c r="T3">
        <v>81</v>
      </c>
      <c r="U3">
        <v>4.666666666666667</v>
      </c>
      <c r="V3">
        <v>63.833333333333336</v>
      </c>
      <c r="W3">
        <v>48.733333333333334</v>
      </c>
      <c r="X3">
        <v>48.666666666666671</v>
      </c>
      <c r="Y3">
        <v>1</v>
      </c>
      <c r="Z3" t="s">
        <v>37</v>
      </c>
    </row>
    <row r="4" spans="1:26" x14ac:dyDescent="0.45">
      <c r="A4" t="s">
        <v>49</v>
      </c>
      <c r="B4" t="s">
        <v>50</v>
      </c>
      <c r="C4" t="s">
        <v>40</v>
      </c>
      <c r="D4" t="s">
        <v>51</v>
      </c>
      <c r="E4" t="s">
        <v>52</v>
      </c>
      <c r="F4" t="s">
        <v>31</v>
      </c>
      <c r="G4">
        <v>25610764843</v>
      </c>
      <c r="H4" t="s">
        <v>53</v>
      </c>
      <c r="I4" t="s">
        <v>54</v>
      </c>
      <c r="J4" t="s">
        <v>46</v>
      </c>
      <c r="K4" t="s">
        <v>55</v>
      </c>
      <c r="L4">
        <v>7</v>
      </c>
      <c r="M4">
        <v>7</v>
      </c>
      <c r="N4">
        <v>6</v>
      </c>
      <c r="O4">
        <v>6</v>
      </c>
      <c r="P4">
        <v>8</v>
      </c>
      <c r="Q4">
        <v>5</v>
      </c>
      <c r="R4">
        <v>10</v>
      </c>
      <c r="S4" t="s">
        <v>48</v>
      </c>
      <c r="T4">
        <v>49</v>
      </c>
      <c r="U4">
        <v>6.5</v>
      </c>
      <c r="V4">
        <v>57</v>
      </c>
      <c r="W4">
        <v>42.35</v>
      </c>
      <c r="X4">
        <v>35.875</v>
      </c>
      <c r="Y4">
        <v>1</v>
      </c>
      <c r="Z4" t="s">
        <v>37</v>
      </c>
    </row>
    <row r="5" spans="1:26" x14ac:dyDescent="0.45">
      <c r="A5" t="s">
        <v>56</v>
      </c>
      <c r="B5" t="s">
        <v>57</v>
      </c>
      <c r="C5" t="s">
        <v>58</v>
      </c>
      <c r="D5" t="s">
        <v>51</v>
      </c>
      <c r="E5" t="s">
        <v>42</v>
      </c>
      <c r="F5" t="s">
        <v>59</v>
      </c>
      <c r="G5">
        <v>26376201611</v>
      </c>
      <c r="H5" t="s">
        <v>53</v>
      </c>
      <c r="I5" t="s">
        <v>33</v>
      </c>
      <c r="J5" t="s">
        <v>60</v>
      </c>
      <c r="K5" t="s">
        <v>35</v>
      </c>
      <c r="L5">
        <v>2</v>
      </c>
      <c r="M5">
        <v>9</v>
      </c>
      <c r="N5">
        <v>8</v>
      </c>
      <c r="O5">
        <v>4</v>
      </c>
      <c r="P5">
        <v>3</v>
      </c>
      <c r="Q5">
        <v>7</v>
      </c>
      <c r="R5">
        <v>3</v>
      </c>
      <c r="S5" t="s">
        <v>61</v>
      </c>
      <c r="T5">
        <v>92</v>
      </c>
      <c r="U5">
        <v>5.5</v>
      </c>
      <c r="V5">
        <v>73.5</v>
      </c>
      <c r="W5">
        <v>73.550000000000011</v>
      </c>
      <c r="X5">
        <v>78.375</v>
      </c>
      <c r="Y5">
        <v>0</v>
      </c>
      <c r="Z5" t="s">
        <v>37</v>
      </c>
    </row>
    <row r="6" spans="1:26" x14ac:dyDescent="0.45">
      <c r="A6" t="s">
        <v>62</v>
      </c>
      <c r="B6" t="s">
        <v>63</v>
      </c>
      <c r="C6" t="s">
        <v>64</v>
      </c>
      <c r="D6" t="s">
        <v>51</v>
      </c>
      <c r="E6" t="s">
        <v>42</v>
      </c>
      <c r="F6" t="s">
        <v>65</v>
      </c>
      <c r="G6">
        <v>22133368782</v>
      </c>
      <c r="H6" t="s">
        <v>66</v>
      </c>
      <c r="I6" t="s">
        <v>67</v>
      </c>
      <c r="J6" t="s">
        <v>68</v>
      </c>
      <c r="K6" t="s">
        <v>55</v>
      </c>
      <c r="L6">
        <v>4</v>
      </c>
      <c r="M6">
        <v>3</v>
      </c>
      <c r="N6">
        <v>3</v>
      </c>
      <c r="O6">
        <v>7</v>
      </c>
      <c r="P6">
        <v>8</v>
      </c>
      <c r="Q6">
        <v>3</v>
      </c>
      <c r="R6">
        <v>7</v>
      </c>
      <c r="S6" t="s">
        <v>48</v>
      </c>
      <c r="T6">
        <v>42</v>
      </c>
      <c r="U6">
        <v>4.666666666666667</v>
      </c>
      <c r="V6">
        <v>44.333333333333336</v>
      </c>
      <c r="W6">
        <v>40.63333333333334</v>
      </c>
      <c r="X6">
        <v>38.916666666666671</v>
      </c>
      <c r="Y6">
        <v>1</v>
      </c>
      <c r="Z6" t="s">
        <v>37</v>
      </c>
    </row>
    <row r="7" spans="1:26" x14ac:dyDescent="0.45">
      <c r="A7" t="s">
        <v>69</v>
      </c>
      <c r="B7" t="s">
        <v>70</v>
      </c>
      <c r="C7" t="s">
        <v>71</v>
      </c>
      <c r="D7" t="s">
        <v>41</v>
      </c>
      <c r="E7" t="s">
        <v>52</v>
      </c>
      <c r="F7" t="s">
        <v>59</v>
      </c>
      <c r="G7">
        <v>12945157155</v>
      </c>
      <c r="H7" t="s">
        <v>72</v>
      </c>
      <c r="I7" t="s">
        <v>54</v>
      </c>
      <c r="J7" t="s">
        <v>34</v>
      </c>
      <c r="K7" t="s">
        <v>35</v>
      </c>
      <c r="L7">
        <v>3</v>
      </c>
      <c r="M7">
        <v>3</v>
      </c>
      <c r="N7">
        <v>3</v>
      </c>
      <c r="O7">
        <v>5</v>
      </c>
      <c r="P7">
        <v>8</v>
      </c>
      <c r="Q7">
        <v>4</v>
      </c>
      <c r="R7">
        <v>9</v>
      </c>
      <c r="S7" t="s">
        <v>48</v>
      </c>
      <c r="T7">
        <v>83</v>
      </c>
      <c r="U7">
        <v>4.333333333333333</v>
      </c>
      <c r="V7">
        <v>63.166666666666664</v>
      </c>
      <c r="W7">
        <v>50.866666666666667</v>
      </c>
      <c r="X7">
        <v>52.333333333333329</v>
      </c>
      <c r="Y7">
        <v>1</v>
      </c>
      <c r="Z7" t="s">
        <v>37</v>
      </c>
    </row>
    <row r="8" spans="1:26" x14ac:dyDescent="0.45">
      <c r="A8" t="s">
        <v>73</v>
      </c>
      <c r="B8" t="s">
        <v>74</v>
      </c>
      <c r="C8" t="s">
        <v>75</v>
      </c>
      <c r="D8" t="s">
        <v>29</v>
      </c>
      <c r="E8" t="s">
        <v>76</v>
      </c>
      <c r="F8" t="s">
        <v>65</v>
      </c>
      <c r="G8">
        <v>23579805395</v>
      </c>
      <c r="H8" t="s">
        <v>66</v>
      </c>
      <c r="I8" t="s">
        <v>54</v>
      </c>
      <c r="J8" t="s">
        <v>68</v>
      </c>
      <c r="K8" t="s">
        <v>35</v>
      </c>
      <c r="L8">
        <v>8</v>
      </c>
      <c r="M8">
        <v>5</v>
      </c>
      <c r="N8">
        <v>9</v>
      </c>
      <c r="O8">
        <v>9</v>
      </c>
      <c r="P8">
        <v>6</v>
      </c>
      <c r="Q8">
        <v>7</v>
      </c>
      <c r="R8">
        <v>4</v>
      </c>
      <c r="S8" t="s">
        <v>61</v>
      </c>
      <c r="T8">
        <v>62</v>
      </c>
      <c r="U8">
        <v>7.333333333333333</v>
      </c>
      <c r="V8">
        <v>67.666666666666657</v>
      </c>
      <c r="W8">
        <v>65.466666666666669</v>
      </c>
      <c r="X8">
        <v>63.333333333333329</v>
      </c>
      <c r="Y8">
        <v>0</v>
      </c>
      <c r="Z8" t="s">
        <v>37</v>
      </c>
    </row>
    <row r="9" spans="1:26" x14ac:dyDescent="0.45">
      <c r="A9" t="s">
        <v>77</v>
      </c>
      <c r="B9" t="s">
        <v>78</v>
      </c>
      <c r="C9" t="s">
        <v>58</v>
      </c>
      <c r="D9" t="s">
        <v>29</v>
      </c>
      <c r="E9" t="s">
        <v>79</v>
      </c>
      <c r="F9" t="s">
        <v>43</v>
      </c>
      <c r="G9">
        <v>41717850244</v>
      </c>
      <c r="H9" t="s">
        <v>80</v>
      </c>
      <c r="I9" t="s">
        <v>81</v>
      </c>
      <c r="J9" t="s">
        <v>60</v>
      </c>
      <c r="K9" t="s">
        <v>82</v>
      </c>
      <c r="L9">
        <v>2</v>
      </c>
      <c r="M9">
        <v>9</v>
      </c>
      <c r="N9">
        <v>2</v>
      </c>
      <c r="O9">
        <v>6</v>
      </c>
      <c r="P9">
        <v>6</v>
      </c>
      <c r="Q9">
        <v>2</v>
      </c>
      <c r="R9">
        <v>4</v>
      </c>
      <c r="S9" t="s">
        <v>36</v>
      </c>
      <c r="T9">
        <v>88</v>
      </c>
      <c r="U9">
        <v>4.5</v>
      </c>
      <c r="V9">
        <v>66.5</v>
      </c>
      <c r="W9">
        <v>65.95</v>
      </c>
      <c r="X9">
        <v>71.375</v>
      </c>
      <c r="Y9">
        <v>0</v>
      </c>
      <c r="Z9" t="s">
        <v>37</v>
      </c>
    </row>
    <row r="10" spans="1:26" x14ac:dyDescent="0.45">
      <c r="A10" t="s">
        <v>83</v>
      </c>
      <c r="B10" t="s">
        <v>50</v>
      </c>
      <c r="C10" t="s">
        <v>40</v>
      </c>
      <c r="D10" t="s">
        <v>41</v>
      </c>
      <c r="E10" t="s">
        <v>79</v>
      </c>
      <c r="F10" t="s">
        <v>59</v>
      </c>
      <c r="G10">
        <v>5842881028</v>
      </c>
      <c r="H10" t="s">
        <v>53</v>
      </c>
      <c r="I10" t="s">
        <v>33</v>
      </c>
      <c r="J10" t="s">
        <v>60</v>
      </c>
      <c r="K10" t="s">
        <v>55</v>
      </c>
      <c r="L10">
        <v>9</v>
      </c>
      <c r="M10">
        <v>8</v>
      </c>
      <c r="N10">
        <v>9</v>
      </c>
      <c r="O10">
        <v>6</v>
      </c>
      <c r="P10">
        <v>2</v>
      </c>
      <c r="Q10">
        <v>2</v>
      </c>
      <c r="R10">
        <v>10</v>
      </c>
      <c r="S10" t="s">
        <v>48</v>
      </c>
      <c r="T10">
        <v>79</v>
      </c>
      <c r="U10">
        <v>6</v>
      </c>
      <c r="V10">
        <v>69.5</v>
      </c>
      <c r="W10">
        <v>52.6</v>
      </c>
      <c r="X10">
        <v>50</v>
      </c>
      <c r="Y10">
        <v>1</v>
      </c>
      <c r="Z10" t="s">
        <v>37</v>
      </c>
    </row>
    <row r="11" spans="1:26" x14ac:dyDescent="0.45">
      <c r="A11" t="s">
        <v>84</v>
      </c>
      <c r="B11" t="s">
        <v>74</v>
      </c>
      <c r="C11" t="s">
        <v>75</v>
      </c>
      <c r="D11" t="s">
        <v>41</v>
      </c>
      <c r="E11" t="s">
        <v>85</v>
      </c>
      <c r="F11" t="s">
        <v>43</v>
      </c>
      <c r="G11">
        <v>40673206266</v>
      </c>
      <c r="H11" t="s">
        <v>72</v>
      </c>
      <c r="I11" t="s">
        <v>45</v>
      </c>
      <c r="J11" t="s">
        <v>46</v>
      </c>
      <c r="K11" t="s">
        <v>82</v>
      </c>
      <c r="L11">
        <v>9</v>
      </c>
      <c r="M11">
        <v>6</v>
      </c>
      <c r="N11">
        <v>3</v>
      </c>
      <c r="O11">
        <v>10</v>
      </c>
      <c r="P11">
        <v>7</v>
      </c>
      <c r="Q11">
        <v>7</v>
      </c>
      <c r="R11">
        <v>9</v>
      </c>
      <c r="S11" t="s">
        <v>48</v>
      </c>
      <c r="T11">
        <v>64</v>
      </c>
      <c r="U11">
        <v>7</v>
      </c>
      <c r="V11">
        <v>67</v>
      </c>
      <c r="W11">
        <v>52.6</v>
      </c>
      <c r="X11">
        <v>47.5</v>
      </c>
      <c r="Y11">
        <v>1</v>
      </c>
      <c r="Z11" t="s">
        <v>37</v>
      </c>
    </row>
    <row r="12" spans="1:26" x14ac:dyDescent="0.45">
      <c r="A12" t="s">
        <v>86</v>
      </c>
      <c r="B12" t="s">
        <v>87</v>
      </c>
      <c r="C12" t="s">
        <v>64</v>
      </c>
      <c r="D12" t="s">
        <v>88</v>
      </c>
      <c r="E12" t="s">
        <v>30</v>
      </c>
      <c r="F12" t="s">
        <v>89</v>
      </c>
      <c r="G12">
        <v>20648765466</v>
      </c>
      <c r="H12" t="s">
        <v>72</v>
      </c>
      <c r="I12" t="s">
        <v>67</v>
      </c>
      <c r="J12" t="s">
        <v>68</v>
      </c>
      <c r="K12" t="s">
        <v>90</v>
      </c>
      <c r="L12">
        <v>4</v>
      </c>
      <c r="M12">
        <v>7</v>
      </c>
      <c r="N12">
        <v>9</v>
      </c>
      <c r="O12">
        <v>8</v>
      </c>
      <c r="P12">
        <v>4</v>
      </c>
      <c r="Q12">
        <v>8</v>
      </c>
      <c r="R12">
        <v>10</v>
      </c>
      <c r="S12" t="s">
        <v>48</v>
      </c>
      <c r="T12">
        <v>45</v>
      </c>
      <c r="U12">
        <v>6.666666666666667</v>
      </c>
      <c r="V12">
        <v>55.833333333333336</v>
      </c>
      <c r="W12">
        <v>41.333333333333329</v>
      </c>
      <c r="X12">
        <v>34.166666666666664</v>
      </c>
      <c r="Y12">
        <v>1</v>
      </c>
      <c r="Z12" t="s">
        <v>37</v>
      </c>
    </row>
    <row r="13" spans="1:26" x14ac:dyDescent="0.45">
      <c r="A13" t="s">
        <v>91</v>
      </c>
      <c r="B13" t="s">
        <v>92</v>
      </c>
      <c r="C13" t="s">
        <v>75</v>
      </c>
      <c r="D13" t="s">
        <v>51</v>
      </c>
      <c r="E13" t="s">
        <v>30</v>
      </c>
      <c r="F13" t="s">
        <v>89</v>
      </c>
      <c r="G13">
        <v>36674202601</v>
      </c>
      <c r="H13" t="s">
        <v>72</v>
      </c>
      <c r="I13" t="s">
        <v>81</v>
      </c>
      <c r="J13" t="s">
        <v>60</v>
      </c>
      <c r="K13" t="s">
        <v>82</v>
      </c>
      <c r="L13">
        <v>8</v>
      </c>
      <c r="M13">
        <v>6</v>
      </c>
      <c r="N13">
        <v>2</v>
      </c>
      <c r="O13">
        <v>5</v>
      </c>
      <c r="P13">
        <v>9</v>
      </c>
      <c r="Q13">
        <v>5</v>
      </c>
      <c r="R13">
        <v>7</v>
      </c>
      <c r="S13" t="s">
        <v>36</v>
      </c>
      <c r="T13">
        <v>72</v>
      </c>
      <c r="U13">
        <v>5.833333333333333</v>
      </c>
      <c r="V13">
        <v>65.166666666666657</v>
      </c>
      <c r="W13">
        <v>56.716666666666669</v>
      </c>
      <c r="X13">
        <v>55.958333333333329</v>
      </c>
      <c r="Y13">
        <v>0</v>
      </c>
      <c r="Z13" t="s">
        <v>37</v>
      </c>
    </row>
    <row r="14" spans="1:26" x14ac:dyDescent="0.45">
      <c r="A14" t="s">
        <v>93</v>
      </c>
      <c r="B14" t="s">
        <v>94</v>
      </c>
      <c r="C14" t="s">
        <v>71</v>
      </c>
      <c r="D14" t="s">
        <v>41</v>
      </c>
      <c r="E14" t="s">
        <v>79</v>
      </c>
      <c r="F14" t="s">
        <v>59</v>
      </c>
      <c r="G14">
        <v>31204668846</v>
      </c>
      <c r="H14" t="s">
        <v>53</v>
      </c>
      <c r="I14" t="s">
        <v>81</v>
      </c>
      <c r="J14" t="s">
        <v>46</v>
      </c>
      <c r="K14" t="s">
        <v>82</v>
      </c>
      <c r="L14">
        <v>4</v>
      </c>
      <c r="M14">
        <v>3</v>
      </c>
      <c r="N14">
        <v>4</v>
      </c>
      <c r="O14">
        <v>9</v>
      </c>
      <c r="P14">
        <v>6</v>
      </c>
      <c r="Q14">
        <v>2</v>
      </c>
      <c r="R14">
        <v>9</v>
      </c>
      <c r="S14" t="s">
        <v>48</v>
      </c>
      <c r="T14">
        <v>94</v>
      </c>
      <c r="U14">
        <v>4.666666666666667</v>
      </c>
      <c r="V14">
        <v>70.333333333333343</v>
      </c>
      <c r="W14">
        <v>56.433333333333337</v>
      </c>
      <c r="X14">
        <v>58.416666666666671</v>
      </c>
      <c r="Y14">
        <v>1</v>
      </c>
      <c r="Z14" t="s">
        <v>37</v>
      </c>
    </row>
    <row r="15" spans="1:26" x14ac:dyDescent="0.45">
      <c r="A15" t="s">
        <v>95</v>
      </c>
      <c r="B15" t="s">
        <v>87</v>
      </c>
      <c r="C15" t="s">
        <v>64</v>
      </c>
      <c r="D15" t="s">
        <v>96</v>
      </c>
      <c r="E15" t="s">
        <v>30</v>
      </c>
      <c r="F15" t="s">
        <v>59</v>
      </c>
      <c r="G15">
        <v>27110284461</v>
      </c>
      <c r="H15" t="s">
        <v>66</v>
      </c>
      <c r="I15" t="s">
        <v>33</v>
      </c>
      <c r="J15" t="s">
        <v>68</v>
      </c>
      <c r="K15" t="s">
        <v>90</v>
      </c>
      <c r="L15">
        <v>8</v>
      </c>
      <c r="M15">
        <v>4</v>
      </c>
      <c r="N15">
        <v>7</v>
      </c>
      <c r="O15">
        <v>7</v>
      </c>
      <c r="P15">
        <v>8</v>
      </c>
      <c r="Q15">
        <v>8</v>
      </c>
      <c r="R15">
        <v>7</v>
      </c>
      <c r="S15" t="s">
        <v>36</v>
      </c>
      <c r="T15">
        <v>40</v>
      </c>
      <c r="U15">
        <v>7</v>
      </c>
      <c r="V15">
        <v>55</v>
      </c>
      <c r="W15">
        <v>48</v>
      </c>
      <c r="X15">
        <v>42</v>
      </c>
      <c r="Y15">
        <v>0</v>
      </c>
      <c r="Z15" t="s">
        <v>37</v>
      </c>
    </row>
    <row r="16" spans="1:26" x14ac:dyDescent="0.45">
      <c r="A16" t="s">
        <v>97</v>
      </c>
      <c r="B16" t="s">
        <v>39</v>
      </c>
      <c r="C16" t="s">
        <v>40</v>
      </c>
      <c r="D16" t="s">
        <v>96</v>
      </c>
      <c r="E16" t="s">
        <v>76</v>
      </c>
      <c r="F16" t="s">
        <v>89</v>
      </c>
      <c r="G16">
        <v>23893193992</v>
      </c>
      <c r="H16" t="s">
        <v>32</v>
      </c>
      <c r="I16" t="s">
        <v>98</v>
      </c>
      <c r="J16" t="s">
        <v>34</v>
      </c>
      <c r="K16" t="s">
        <v>90</v>
      </c>
      <c r="L16">
        <v>8</v>
      </c>
      <c r="M16">
        <v>3</v>
      </c>
      <c r="N16">
        <v>4</v>
      </c>
      <c r="O16">
        <v>4</v>
      </c>
      <c r="P16">
        <v>7</v>
      </c>
      <c r="Q16">
        <v>6</v>
      </c>
      <c r="R16">
        <v>4</v>
      </c>
      <c r="S16" t="s">
        <v>61</v>
      </c>
      <c r="T16">
        <v>93</v>
      </c>
      <c r="U16">
        <v>5.333333333333333</v>
      </c>
      <c r="V16">
        <v>73.166666666666657</v>
      </c>
      <c r="W16">
        <v>70.866666666666674</v>
      </c>
      <c r="X16">
        <v>75.333333333333343</v>
      </c>
      <c r="Y16">
        <v>0</v>
      </c>
      <c r="Z16" t="s">
        <v>37</v>
      </c>
    </row>
    <row r="17" spans="1:26" x14ac:dyDescent="0.45">
      <c r="A17" t="s">
        <v>99</v>
      </c>
      <c r="B17" t="s">
        <v>100</v>
      </c>
      <c r="C17" t="s">
        <v>40</v>
      </c>
      <c r="D17" t="s">
        <v>101</v>
      </c>
      <c r="E17" t="s">
        <v>76</v>
      </c>
      <c r="F17" t="s">
        <v>59</v>
      </c>
      <c r="G17">
        <v>36948910710</v>
      </c>
      <c r="H17" t="s">
        <v>80</v>
      </c>
      <c r="I17" t="s">
        <v>67</v>
      </c>
      <c r="J17" t="s">
        <v>46</v>
      </c>
      <c r="K17" t="s">
        <v>82</v>
      </c>
      <c r="L17">
        <v>2</v>
      </c>
      <c r="M17">
        <v>4</v>
      </c>
      <c r="N17">
        <v>9</v>
      </c>
      <c r="O17">
        <v>9</v>
      </c>
      <c r="P17">
        <v>5</v>
      </c>
      <c r="Q17">
        <v>3</v>
      </c>
      <c r="R17">
        <v>4</v>
      </c>
      <c r="S17" t="s">
        <v>61</v>
      </c>
      <c r="T17">
        <v>39</v>
      </c>
      <c r="U17">
        <v>5.333333333333333</v>
      </c>
      <c r="V17">
        <v>46.166666666666664</v>
      </c>
      <c r="W17">
        <v>49.266666666666666</v>
      </c>
      <c r="X17">
        <v>48.333333333333329</v>
      </c>
      <c r="Y17">
        <v>0</v>
      </c>
      <c r="Z17" t="s">
        <v>37</v>
      </c>
    </row>
    <row r="18" spans="1:26" x14ac:dyDescent="0.45">
      <c r="A18" t="s">
        <v>102</v>
      </c>
      <c r="B18" t="s">
        <v>57</v>
      </c>
      <c r="C18" t="s">
        <v>58</v>
      </c>
      <c r="D18" t="s">
        <v>29</v>
      </c>
      <c r="E18" t="s">
        <v>79</v>
      </c>
      <c r="F18" t="s">
        <v>43</v>
      </c>
      <c r="G18">
        <v>19625381741</v>
      </c>
      <c r="H18" t="s">
        <v>66</v>
      </c>
      <c r="I18" t="s">
        <v>81</v>
      </c>
      <c r="J18" t="s">
        <v>60</v>
      </c>
      <c r="K18" t="s">
        <v>35</v>
      </c>
      <c r="L18">
        <v>7</v>
      </c>
      <c r="M18">
        <v>4</v>
      </c>
      <c r="N18">
        <v>9</v>
      </c>
      <c r="O18">
        <v>10</v>
      </c>
      <c r="P18">
        <v>4</v>
      </c>
      <c r="Q18">
        <v>7</v>
      </c>
      <c r="R18">
        <v>6</v>
      </c>
      <c r="S18" t="s">
        <v>36</v>
      </c>
      <c r="T18">
        <v>89</v>
      </c>
      <c r="U18">
        <v>6.833333333333333</v>
      </c>
      <c r="V18">
        <v>78.666666666666657</v>
      </c>
      <c r="W18">
        <v>69.516666666666666</v>
      </c>
      <c r="X18">
        <v>69.458333333333329</v>
      </c>
      <c r="Y18">
        <v>0</v>
      </c>
      <c r="Z18" t="s">
        <v>37</v>
      </c>
    </row>
    <row r="19" spans="1:26" x14ac:dyDescent="0.45">
      <c r="A19" t="s">
        <v>103</v>
      </c>
      <c r="B19" t="s">
        <v>104</v>
      </c>
      <c r="C19" t="s">
        <v>64</v>
      </c>
      <c r="D19" t="s">
        <v>96</v>
      </c>
      <c r="E19" t="s">
        <v>79</v>
      </c>
      <c r="F19" t="s">
        <v>89</v>
      </c>
      <c r="G19">
        <v>16336828840</v>
      </c>
      <c r="H19" t="s">
        <v>53</v>
      </c>
      <c r="I19" t="s">
        <v>98</v>
      </c>
      <c r="J19" t="s">
        <v>60</v>
      </c>
      <c r="K19" t="s">
        <v>47</v>
      </c>
      <c r="L19">
        <v>5</v>
      </c>
      <c r="M19">
        <v>4</v>
      </c>
      <c r="N19">
        <v>2</v>
      </c>
      <c r="O19">
        <v>3</v>
      </c>
      <c r="P19">
        <v>8</v>
      </c>
      <c r="Q19">
        <v>3</v>
      </c>
      <c r="R19">
        <v>8</v>
      </c>
      <c r="S19" t="s">
        <v>48</v>
      </c>
      <c r="T19">
        <v>57</v>
      </c>
      <c r="U19">
        <v>4.166666666666667</v>
      </c>
      <c r="V19">
        <v>49.333333333333336</v>
      </c>
      <c r="W19">
        <v>42.383333333333333</v>
      </c>
      <c r="X19">
        <v>42.291666666666664</v>
      </c>
      <c r="Y19">
        <v>1</v>
      </c>
      <c r="Z19" t="s">
        <v>37</v>
      </c>
    </row>
    <row r="20" spans="1:26" x14ac:dyDescent="0.45">
      <c r="A20" t="s">
        <v>105</v>
      </c>
      <c r="B20" t="s">
        <v>106</v>
      </c>
      <c r="C20" t="s">
        <v>28</v>
      </c>
      <c r="D20" t="s">
        <v>29</v>
      </c>
      <c r="E20" t="s">
        <v>52</v>
      </c>
      <c r="F20" t="s">
        <v>31</v>
      </c>
      <c r="G20">
        <v>30606513399</v>
      </c>
      <c r="H20" t="s">
        <v>72</v>
      </c>
      <c r="I20" t="s">
        <v>33</v>
      </c>
      <c r="J20" t="s">
        <v>107</v>
      </c>
      <c r="K20" t="s">
        <v>55</v>
      </c>
      <c r="L20">
        <v>9</v>
      </c>
      <c r="M20">
        <v>4</v>
      </c>
      <c r="N20">
        <v>5</v>
      </c>
      <c r="O20">
        <v>9</v>
      </c>
      <c r="P20">
        <v>6</v>
      </c>
      <c r="Q20">
        <v>7</v>
      </c>
      <c r="R20">
        <v>9</v>
      </c>
      <c r="S20" t="s">
        <v>48</v>
      </c>
      <c r="T20">
        <v>89</v>
      </c>
      <c r="U20">
        <v>6.666666666666667</v>
      </c>
      <c r="V20">
        <v>77.833333333333343</v>
      </c>
      <c r="W20">
        <v>61.433333333333337</v>
      </c>
      <c r="X20">
        <v>59.416666666666671</v>
      </c>
      <c r="Y20">
        <v>1</v>
      </c>
      <c r="Z20" t="s">
        <v>37</v>
      </c>
    </row>
    <row r="21" spans="1:26" x14ac:dyDescent="0.45">
      <c r="A21" t="s">
        <v>108</v>
      </c>
      <c r="B21" t="s">
        <v>27</v>
      </c>
      <c r="C21" t="s">
        <v>28</v>
      </c>
      <c r="D21" t="s">
        <v>88</v>
      </c>
      <c r="E21" t="s">
        <v>30</v>
      </c>
      <c r="F21" t="s">
        <v>65</v>
      </c>
      <c r="G21">
        <v>1867537050</v>
      </c>
      <c r="H21" t="s">
        <v>53</v>
      </c>
      <c r="I21" t="s">
        <v>33</v>
      </c>
      <c r="J21" t="s">
        <v>60</v>
      </c>
      <c r="K21" t="s">
        <v>90</v>
      </c>
      <c r="L21">
        <v>4</v>
      </c>
      <c r="M21">
        <v>6</v>
      </c>
      <c r="N21">
        <v>9</v>
      </c>
      <c r="O21">
        <v>9</v>
      </c>
      <c r="P21">
        <v>7</v>
      </c>
      <c r="Q21">
        <v>7</v>
      </c>
      <c r="R21">
        <v>5</v>
      </c>
      <c r="S21" t="s">
        <v>61</v>
      </c>
      <c r="T21">
        <v>65</v>
      </c>
      <c r="U21">
        <v>7</v>
      </c>
      <c r="V21">
        <v>67.5</v>
      </c>
      <c r="W21">
        <v>63</v>
      </c>
      <c r="X21">
        <v>61</v>
      </c>
      <c r="Y21">
        <v>0</v>
      </c>
      <c r="Z21" t="s">
        <v>37</v>
      </c>
    </row>
    <row r="22" spans="1:26" x14ac:dyDescent="0.45">
      <c r="A22" t="s">
        <v>109</v>
      </c>
      <c r="B22" t="s">
        <v>70</v>
      </c>
      <c r="C22" t="s">
        <v>71</v>
      </c>
      <c r="D22" t="s">
        <v>101</v>
      </c>
      <c r="E22" t="s">
        <v>52</v>
      </c>
      <c r="F22" t="s">
        <v>59</v>
      </c>
      <c r="G22">
        <v>23254432515</v>
      </c>
      <c r="H22" t="s">
        <v>72</v>
      </c>
      <c r="I22" t="s">
        <v>67</v>
      </c>
      <c r="J22" t="s">
        <v>60</v>
      </c>
      <c r="K22" t="s">
        <v>35</v>
      </c>
      <c r="L22">
        <v>8</v>
      </c>
      <c r="M22">
        <v>3</v>
      </c>
      <c r="N22">
        <v>2</v>
      </c>
      <c r="O22">
        <v>6</v>
      </c>
      <c r="P22">
        <v>9</v>
      </c>
      <c r="Q22">
        <v>8</v>
      </c>
      <c r="R22">
        <v>10</v>
      </c>
      <c r="S22" t="s">
        <v>48</v>
      </c>
      <c r="T22">
        <v>95</v>
      </c>
      <c r="U22">
        <v>6</v>
      </c>
      <c r="V22">
        <v>77.5</v>
      </c>
      <c r="W22">
        <v>59</v>
      </c>
      <c r="X22">
        <v>58</v>
      </c>
      <c r="Y22">
        <v>1</v>
      </c>
      <c r="Z22" t="s">
        <v>37</v>
      </c>
    </row>
    <row r="23" spans="1:26" x14ac:dyDescent="0.45">
      <c r="A23" t="s">
        <v>110</v>
      </c>
      <c r="B23" t="s">
        <v>57</v>
      </c>
      <c r="C23" t="s">
        <v>58</v>
      </c>
      <c r="D23" t="s">
        <v>29</v>
      </c>
      <c r="E23" t="s">
        <v>76</v>
      </c>
      <c r="F23" t="s">
        <v>65</v>
      </c>
      <c r="G23">
        <v>23211642313</v>
      </c>
      <c r="H23" t="s">
        <v>32</v>
      </c>
      <c r="I23" t="s">
        <v>54</v>
      </c>
      <c r="J23" t="s">
        <v>68</v>
      </c>
      <c r="K23" t="s">
        <v>90</v>
      </c>
      <c r="L23">
        <v>8</v>
      </c>
      <c r="M23">
        <v>2</v>
      </c>
      <c r="N23">
        <v>9</v>
      </c>
      <c r="O23">
        <v>10</v>
      </c>
      <c r="P23">
        <v>7</v>
      </c>
      <c r="Q23">
        <v>2</v>
      </c>
      <c r="R23">
        <v>5</v>
      </c>
      <c r="S23" t="s">
        <v>36</v>
      </c>
      <c r="T23">
        <v>61</v>
      </c>
      <c r="U23">
        <v>6.333333333333333</v>
      </c>
      <c r="V23">
        <v>62.166666666666664</v>
      </c>
      <c r="W23">
        <v>59.066666666666663</v>
      </c>
      <c r="X23">
        <v>57.833333333333329</v>
      </c>
      <c r="Y23">
        <v>0</v>
      </c>
      <c r="Z23" t="s">
        <v>37</v>
      </c>
    </row>
    <row r="24" spans="1:26" x14ac:dyDescent="0.45">
      <c r="A24" t="s">
        <v>111</v>
      </c>
      <c r="B24" t="s">
        <v>112</v>
      </c>
      <c r="C24" t="s">
        <v>58</v>
      </c>
      <c r="D24" t="s">
        <v>51</v>
      </c>
      <c r="E24" t="s">
        <v>76</v>
      </c>
      <c r="F24" t="s">
        <v>43</v>
      </c>
      <c r="G24">
        <v>35459906868</v>
      </c>
      <c r="H24" t="s">
        <v>66</v>
      </c>
      <c r="I24" t="s">
        <v>81</v>
      </c>
      <c r="J24" t="s">
        <v>34</v>
      </c>
      <c r="K24" t="s">
        <v>47</v>
      </c>
      <c r="L24">
        <v>9</v>
      </c>
      <c r="M24">
        <v>4</v>
      </c>
      <c r="N24">
        <v>3</v>
      </c>
      <c r="O24">
        <v>7</v>
      </c>
      <c r="P24">
        <v>9</v>
      </c>
      <c r="Q24">
        <v>7</v>
      </c>
      <c r="R24">
        <v>5</v>
      </c>
      <c r="S24" t="s">
        <v>36</v>
      </c>
      <c r="T24">
        <v>43</v>
      </c>
      <c r="U24">
        <v>6.5</v>
      </c>
      <c r="V24">
        <v>54</v>
      </c>
      <c r="W24">
        <v>52.45</v>
      </c>
      <c r="X24">
        <v>49.125</v>
      </c>
      <c r="Y24">
        <v>0</v>
      </c>
      <c r="Z24" t="s">
        <v>37</v>
      </c>
    </row>
    <row r="25" spans="1:26" x14ac:dyDescent="0.45">
      <c r="A25" t="s">
        <v>113</v>
      </c>
      <c r="B25" t="s">
        <v>63</v>
      </c>
      <c r="C25" t="s">
        <v>64</v>
      </c>
      <c r="D25" t="s">
        <v>51</v>
      </c>
      <c r="E25" t="s">
        <v>52</v>
      </c>
      <c r="F25" t="s">
        <v>89</v>
      </c>
      <c r="G25">
        <v>9480495007</v>
      </c>
      <c r="H25" t="s">
        <v>44</v>
      </c>
      <c r="I25" t="s">
        <v>81</v>
      </c>
      <c r="J25" t="s">
        <v>107</v>
      </c>
      <c r="K25" t="s">
        <v>90</v>
      </c>
      <c r="L25">
        <v>4</v>
      </c>
      <c r="M25">
        <v>4</v>
      </c>
      <c r="N25">
        <v>3</v>
      </c>
      <c r="O25">
        <v>6</v>
      </c>
      <c r="P25">
        <v>9</v>
      </c>
      <c r="Q25">
        <v>5</v>
      </c>
      <c r="R25">
        <v>10</v>
      </c>
      <c r="S25" t="s">
        <v>48</v>
      </c>
      <c r="T25">
        <v>79</v>
      </c>
      <c r="U25">
        <v>5.166666666666667</v>
      </c>
      <c r="V25">
        <v>65.333333333333343</v>
      </c>
      <c r="W25">
        <v>49.683333333333337</v>
      </c>
      <c r="X25">
        <v>48.541666666666671</v>
      </c>
      <c r="Y25">
        <v>1</v>
      </c>
      <c r="Z25" t="s">
        <v>37</v>
      </c>
    </row>
    <row r="26" spans="1:26" x14ac:dyDescent="0.45">
      <c r="A26" t="s">
        <v>114</v>
      </c>
      <c r="B26" t="s">
        <v>87</v>
      </c>
      <c r="C26" t="s">
        <v>64</v>
      </c>
      <c r="D26" t="s">
        <v>51</v>
      </c>
      <c r="E26" t="s">
        <v>30</v>
      </c>
      <c r="F26" t="s">
        <v>89</v>
      </c>
      <c r="G26">
        <v>4448878301</v>
      </c>
      <c r="H26" t="s">
        <v>80</v>
      </c>
      <c r="I26" t="s">
        <v>98</v>
      </c>
      <c r="J26" t="s">
        <v>115</v>
      </c>
      <c r="K26" t="s">
        <v>35</v>
      </c>
      <c r="L26">
        <v>4</v>
      </c>
      <c r="M26">
        <v>8</v>
      </c>
      <c r="N26">
        <v>7</v>
      </c>
      <c r="O26">
        <v>4</v>
      </c>
      <c r="P26">
        <v>5</v>
      </c>
      <c r="Q26">
        <v>5</v>
      </c>
      <c r="R26">
        <v>6</v>
      </c>
      <c r="S26" t="s">
        <v>36</v>
      </c>
      <c r="T26">
        <v>54</v>
      </c>
      <c r="U26">
        <v>5.5</v>
      </c>
      <c r="V26">
        <v>54.5</v>
      </c>
      <c r="W26">
        <v>50.85</v>
      </c>
      <c r="X26">
        <v>49.625</v>
      </c>
      <c r="Y26">
        <v>0</v>
      </c>
      <c r="Z26" t="s">
        <v>37</v>
      </c>
    </row>
    <row r="27" spans="1:26" x14ac:dyDescent="0.45">
      <c r="A27" t="s">
        <v>116</v>
      </c>
      <c r="B27" t="s">
        <v>117</v>
      </c>
      <c r="C27" t="s">
        <v>71</v>
      </c>
      <c r="D27" t="s">
        <v>101</v>
      </c>
      <c r="E27" t="s">
        <v>76</v>
      </c>
      <c r="F27" t="s">
        <v>31</v>
      </c>
      <c r="G27">
        <v>42836803730</v>
      </c>
      <c r="H27" t="s">
        <v>53</v>
      </c>
      <c r="I27" t="s">
        <v>98</v>
      </c>
      <c r="J27" t="s">
        <v>46</v>
      </c>
      <c r="K27" t="s">
        <v>90</v>
      </c>
      <c r="L27">
        <v>4</v>
      </c>
      <c r="M27">
        <v>3</v>
      </c>
      <c r="N27">
        <v>2</v>
      </c>
      <c r="O27">
        <v>5</v>
      </c>
      <c r="P27">
        <v>4</v>
      </c>
      <c r="Q27">
        <v>6</v>
      </c>
      <c r="R27">
        <v>9</v>
      </c>
      <c r="S27" t="s">
        <v>48</v>
      </c>
      <c r="T27">
        <v>42</v>
      </c>
      <c r="U27">
        <v>4</v>
      </c>
      <c r="V27">
        <v>41</v>
      </c>
      <c r="W27">
        <v>33.299999999999997</v>
      </c>
      <c r="X27">
        <v>31.25</v>
      </c>
      <c r="Y27">
        <v>1</v>
      </c>
      <c r="Z27" t="s">
        <v>37</v>
      </c>
    </row>
    <row r="28" spans="1:26" x14ac:dyDescent="0.45">
      <c r="A28" t="s">
        <v>118</v>
      </c>
      <c r="B28" t="s">
        <v>74</v>
      </c>
      <c r="C28" t="s">
        <v>75</v>
      </c>
      <c r="D28" t="s">
        <v>96</v>
      </c>
      <c r="E28" t="s">
        <v>42</v>
      </c>
      <c r="F28" t="s">
        <v>43</v>
      </c>
      <c r="G28">
        <v>11483866427</v>
      </c>
      <c r="H28" t="s">
        <v>66</v>
      </c>
      <c r="I28" t="s">
        <v>98</v>
      </c>
      <c r="J28" t="s">
        <v>46</v>
      </c>
      <c r="K28" t="s">
        <v>47</v>
      </c>
      <c r="L28">
        <v>2</v>
      </c>
      <c r="M28">
        <v>4</v>
      </c>
      <c r="N28">
        <v>5</v>
      </c>
      <c r="O28">
        <v>5</v>
      </c>
      <c r="P28">
        <v>7</v>
      </c>
      <c r="Q28">
        <v>4</v>
      </c>
      <c r="R28">
        <v>6</v>
      </c>
      <c r="S28" t="s">
        <v>36</v>
      </c>
      <c r="T28">
        <v>49</v>
      </c>
      <c r="U28">
        <v>4.5</v>
      </c>
      <c r="V28">
        <v>47</v>
      </c>
      <c r="W28">
        <v>45.35</v>
      </c>
      <c r="X28">
        <v>45.375</v>
      </c>
      <c r="Y28">
        <v>0</v>
      </c>
      <c r="Z28" t="s">
        <v>37</v>
      </c>
    </row>
    <row r="29" spans="1:26" x14ac:dyDescent="0.45">
      <c r="A29" t="s">
        <v>119</v>
      </c>
      <c r="B29" t="s">
        <v>27</v>
      </c>
      <c r="C29" t="s">
        <v>28</v>
      </c>
      <c r="D29" t="s">
        <v>51</v>
      </c>
      <c r="E29" t="s">
        <v>42</v>
      </c>
      <c r="F29" t="s">
        <v>65</v>
      </c>
      <c r="G29">
        <v>9107119820</v>
      </c>
      <c r="H29" t="s">
        <v>44</v>
      </c>
      <c r="I29" t="s">
        <v>67</v>
      </c>
      <c r="J29" t="s">
        <v>34</v>
      </c>
      <c r="K29" t="s">
        <v>120</v>
      </c>
      <c r="L29">
        <v>3</v>
      </c>
      <c r="M29">
        <v>4</v>
      </c>
      <c r="N29">
        <v>2</v>
      </c>
      <c r="O29">
        <v>7</v>
      </c>
      <c r="P29">
        <v>8</v>
      </c>
      <c r="Q29">
        <v>3</v>
      </c>
      <c r="R29">
        <v>5</v>
      </c>
      <c r="S29" t="s">
        <v>36</v>
      </c>
      <c r="T29">
        <v>88</v>
      </c>
      <c r="U29">
        <v>4.5</v>
      </c>
      <c r="V29">
        <v>66.5</v>
      </c>
      <c r="W29">
        <v>63.45</v>
      </c>
      <c r="X29">
        <v>68.125</v>
      </c>
      <c r="Y29">
        <v>0</v>
      </c>
      <c r="Z29" t="s">
        <v>37</v>
      </c>
    </row>
    <row r="30" spans="1:26" x14ac:dyDescent="0.45">
      <c r="A30" t="s">
        <v>121</v>
      </c>
      <c r="B30" t="s">
        <v>117</v>
      </c>
      <c r="C30" t="s">
        <v>71</v>
      </c>
      <c r="D30" t="s">
        <v>101</v>
      </c>
      <c r="E30" t="s">
        <v>85</v>
      </c>
      <c r="F30" t="s">
        <v>59</v>
      </c>
      <c r="G30">
        <v>2273618425</v>
      </c>
      <c r="H30" t="s">
        <v>80</v>
      </c>
      <c r="I30" t="s">
        <v>98</v>
      </c>
      <c r="J30" t="s">
        <v>34</v>
      </c>
      <c r="K30" t="s">
        <v>35</v>
      </c>
      <c r="L30">
        <v>3</v>
      </c>
      <c r="M30">
        <v>4</v>
      </c>
      <c r="N30">
        <v>5</v>
      </c>
      <c r="O30">
        <v>10</v>
      </c>
      <c r="P30">
        <v>2</v>
      </c>
      <c r="Q30">
        <v>4</v>
      </c>
      <c r="R30">
        <v>3</v>
      </c>
      <c r="S30" t="s">
        <v>61</v>
      </c>
      <c r="T30">
        <v>77</v>
      </c>
      <c r="U30">
        <v>4.666666666666667</v>
      </c>
      <c r="V30">
        <v>61.833333333333336</v>
      </c>
      <c r="W30">
        <v>64.63333333333334</v>
      </c>
      <c r="X30">
        <v>69.416666666666671</v>
      </c>
      <c r="Y30">
        <v>0</v>
      </c>
      <c r="Z30" t="s">
        <v>37</v>
      </c>
    </row>
    <row r="31" spans="1:26" x14ac:dyDescent="0.45">
      <c r="A31" t="s">
        <v>122</v>
      </c>
      <c r="B31" t="s">
        <v>123</v>
      </c>
      <c r="C31" t="s">
        <v>75</v>
      </c>
      <c r="D31" t="s">
        <v>29</v>
      </c>
      <c r="E31" t="s">
        <v>52</v>
      </c>
      <c r="F31" t="s">
        <v>31</v>
      </c>
      <c r="G31">
        <v>28955234786</v>
      </c>
      <c r="H31" t="s">
        <v>53</v>
      </c>
      <c r="I31" t="s">
        <v>98</v>
      </c>
      <c r="J31" t="s">
        <v>46</v>
      </c>
      <c r="K31" t="s">
        <v>55</v>
      </c>
      <c r="L31">
        <v>7</v>
      </c>
      <c r="M31">
        <v>5</v>
      </c>
      <c r="N31">
        <v>5</v>
      </c>
      <c r="O31">
        <v>4</v>
      </c>
      <c r="P31">
        <v>2</v>
      </c>
      <c r="Q31">
        <v>4</v>
      </c>
      <c r="R31">
        <v>8</v>
      </c>
      <c r="S31" t="s">
        <v>48</v>
      </c>
      <c r="T31">
        <v>67</v>
      </c>
      <c r="U31">
        <v>4.5</v>
      </c>
      <c r="V31">
        <v>56</v>
      </c>
      <c r="W31">
        <v>47.55</v>
      </c>
      <c r="X31">
        <v>47.875</v>
      </c>
      <c r="Y31">
        <v>1</v>
      </c>
      <c r="Z31" t="s">
        <v>37</v>
      </c>
    </row>
    <row r="32" spans="1:26" x14ac:dyDescent="0.45">
      <c r="A32" t="s">
        <v>124</v>
      </c>
      <c r="B32" t="s">
        <v>50</v>
      </c>
      <c r="C32" t="s">
        <v>40</v>
      </c>
      <c r="D32" t="s">
        <v>88</v>
      </c>
      <c r="E32" t="s">
        <v>79</v>
      </c>
      <c r="F32" t="s">
        <v>89</v>
      </c>
      <c r="G32">
        <v>17664557007</v>
      </c>
      <c r="H32" t="s">
        <v>72</v>
      </c>
      <c r="I32" t="s">
        <v>81</v>
      </c>
      <c r="J32" t="s">
        <v>34</v>
      </c>
      <c r="K32" t="s">
        <v>47</v>
      </c>
      <c r="L32">
        <v>6</v>
      </c>
      <c r="M32">
        <v>8</v>
      </c>
      <c r="N32">
        <v>2</v>
      </c>
      <c r="O32">
        <v>6</v>
      </c>
      <c r="P32">
        <v>9</v>
      </c>
      <c r="Q32">
        <v>8</v>
      </c>
      <c r="R32">
        <v>8</v>
      </c>
      <c r="S32" t="s">
        <v>48</v>
      </c>
      <c r="T32">
        <v>64</v>
      </c>
      <c r="U32">
        <v>6.5</v>
      </c>
      <c r="V32">
        <v>64.5</v>
      </c>
      <c r="W32">
        <v>53.35</v>
      </c>
      <c r="X32">
        <v>49.875</v>
      </c>
      <c r="Y32">
        <v>1</v>
      </c>
      <c r="Z32" t="s">
        <v>37</v>
      </c>
    </row>
    <row r="33" spans="1:26" x14ac:dyDescent="0.45">
      <c r="A33" t="s">
        <v>125</v>
      </c>
      <c r="B33" t="s">
        <v>50</v>
      </c>
      <c r="C33" t="s">
        <v>40</v>
      </c>
      <c r="D33" t="s">
        <v>96</v>
      </c>
      <c r="E33" t="s">
        <v>79</v>
      </c>
      <c r="F33" t="s">
        <v>31</v>
      </c>
      <c r="G33">
        <v>33545760658</v>
      </c>
      <c r="H33" t="s">
        <v>66</v>
      </c>
      <c r="I33" t="s">
        <v>98</v>
      </c>
      <c r="J33" t="s">
        <v>46</v>
      </c>
      <c r="K33" t="s">
        <v>120</v>
      </c>
      <c r="L33">
        <v>4</v>
      </c>
      <c r="M33">
        <v>4</v>
      </c>
      <c r="N33">
        <v>9</v>
      </c>
      <c r="O33">
        <v>5</v>
      </c>
      <c r="P33">
        <v>7</v>
      </c>
      <c r="Q33">
        <v>2</v>
      </c>
      <c r="R33">
        <v>9</v>
      </c>
      <c r="S33" t="s">
        <v>48</v>
      </c>
      <c r="T33">
        <v>50</v>
      </c>
      <c r="U33">
        <v>5.166666666666667</v>
      </c>
      <c r="V33">
        <v>50.833333333333336</v>
      </c>
      <c r="W33">
        <v>40.583333333333329</v>
      </c>
      <c r="X33">
        <v>37.291666666666664</v>
      </c>
      <c r="Y33">
        <v>1</v>
      </c>
      <c r="Z33" t="s">
        <v>37</v>
      </c>
    </row>
    <row r="34" spans="1:26" x14ac:dyDescent="0.45">
      <c r="A34" t="s">
        <v>126</v>
      </c>
      <c r="B34" t="s">
        <v>57</v>
      </c>
      <c r="C34" t="s">
        <v>58</v>
      </c>
      <c r="D34" t="s">
        <v>101</v>
      </c>
      <c r="E34" t="s">
        <v>52</v>
      </c>
      <c r="F34" t="s">
        <v>43</v>
      </c>
      <c r="G34">
        <v>39457059226</v>
      </c>
      <c r="H34" t="s">
        <v>32</v>
      </c>
      <c r="I34" t="s">
        <v>81</v>
      </c>
      <c r="J34" t="s">
        <v>115</v>
      </c>
      <c r="K34" t="s">
        <v>35</v>
      </c>
      <c r="L34">
        <v>5</v>
      </c>
      <c r="M34">
        <v>8</v>
      </c>
      <c r="N34">
        <v>8</v>
      </c>
      <c r="O34">
        <v>4</v>
      </c>
      <c r="P34">
        <v>4</v>
      </c>
      <c r="Q34">
        <v>6</v>
      </c>
      <c r="R34">
        <v>5</v>
      </c>
      <c r="S34" t="s">
        <v>36</v>
      </c>
      <c r="T34">
        <v>83</v>
      </c>
      <c r="U34">
        <v>5.833333333333333</v>
      </c>
      <c r="V34">
        <v>70.666666666666657</v>
      </c>
      <c r="W34">
        <v>66.116666666666674</v>
      </c>
      <c r="X34">
        <v>67.958333333333343</v>
      </c>
      <c r="Y34">
        <v>0</v>
      </c>
      <c r="Z34" t="s">
        <v>37</v>
      </c>
    </row>
    <row r="35" spans="1:26" x14ac:dyDescent="0.45">
      <c r="A35" t="s">
        <v>127</v>
      </c>
      <c r="B35" t="s">
        <v>112</v>
      </c>
      <c r="C35" t="s">
        <v>58</v>
      </c>
      <c r="D35" t="s">
        <v>29</v>
      </c>
      <c r="E35" t="s">
        <v>52</v>
      </c>
      <c r="F35" t="s">
        <v>65</v>
      </c>
      <c r="G35">
        <v>9607404632</v>
      </c>
      <c r="H35" t="s">
        <v>32</v>
      </c>
      <c r="I35" t="s">
        <v>45</v>
      </c>
      <c r="J35" t="s">
        <v>46</v>
      </c>
      <c r="K35" t="s">
        <v>55</v>
      </c>
      <c r="L35">
        <v>9</v>
      </c>
      <c r="M35">
        <v>9</v>
      </c>
      <c r="N35">
        <v>2</v>
      </c>
      <c r="O35">
        <v>10</v>
      </c>
      <c r="P35">
        <v>5</v>
      </c>
      <c r="Q35">
        <v>6</v>
      </c>
      <c r="R35">
        <v>3</v>
      </c>
      <c r="S35" t="s">
        <v>61</v>
      </c>
      <c r="T35">
        <v>69</v>
      </c>
      <c r="U35">
        <v>6.833333333333333</v>
      </c>
      <c r="V35">
        <v>68.666666666666657</v>
      </c>
      <c r="W35">
        <v>69.016666666666666</v>
      </c>
      <c r="X35">
        <v>69.208333333333329</v>
      </c>
      <c r="Y35">
        <v>0</v>
      </c>
      <c r="Z35" t="s">
        <v>37</v>
      </c>
    </row>
    <row r="36" spans="1:26" x14ac:dyDescent="0.45">
      <c r="A36" t="s">
        <v>128</v>
      </c>
      <c r="B36" t="s">
        <v>50</v>
      </c>
      <c r="C36" t="s">
        <v>40</v>
      </c>
      <c r="D36" t="s">
        <v>88</v>
      </c>
      <c r="E36" t="s">
        <v>76</v>
      </c>
      <c r="F36" t="s">
        <v>59</v>
      </c>
      <c r="G36">
        <v>23601217760</v>
      </c>
      <c r="H36" t="s">
        <v>44</v>
      </c>
      <c r="I36" t="s">
        <v>98</v>
      </c>
      <c r="J36" t="s">
        <v>107</v>
      </c>
      <c r="K36" t="s">
        <v>90</v>
      </c>
      <c r="L36">
        <v>6</v>
      </c>
      <c r="M36">
        <v>6</v>
      </c>
      <c r="N36">
        <v>3</v>
      </c>
      <c r="O36">
        <v>3</v>
      </c>
      <c r="P36">
        <v>5</v>
      </c>
      <c r="Q36">
        <v>2</v>
      </c>
      <c r="R36">
        <v>9</v>
      </c>
      <c r="S36" t="s">
        <v>48</v>
      </c>
      <c r="T36">
        <v>92</v>
      </c>
      <c r="U36">
        <v>4.166666666666667</v>
      </c>
      <c r="V36">
        <v>66.833333333333343</v>
      </c>
      <c r="W36">
        <v>53.88333333333334</v>
      </c>
      <c r="X36">
        <v>56.541666666666671</v>
      </c>
      <c r="Y36">
        <v>1</v>
      </c>
      <c r="Z36" t="s">
        <v>37</v>
      </c>
    </row>
    <row r="37" spans="1:26" x14ac:dyDescent="0.45">
      <c r="A37" t="s">
        <v>129</v>
      </c>
      <c r="B37" t="s">
        <v>27</v>
      </c>
      <c r="C37" t="s">
        <v>28</v>
      </c>
      <c r="D37" t="s">
        <v>96</v>
      </c>
      <c r="E37" t="s">
        <v>79</v>
      </c>
      <c r="F37" t="s">
        <v>59</v>
      </c>
      <c r="G37">
        <v>41189212665</v>
      </c>
      <c r="H37" t="s">
        <v>53</v>
      </c>
      <c r="I37" t="s">
        <v>81</v>
      </c>
      <c r="J37" t="s">
        <v>68</v>
      </c>
      <c r="K37" t="s">
        <v>55</v>
      </c>
      <c r="L37">
        <v>5</v>
      </c>
      <c r="M37">
        <v>9</v>
      </c>
      <c r="N37">
        <v>5</v>
      </c>
      <c r="O37">
        <v>6</v>
      </c>
      <c r="P37">
        <v>5</v>
      </c>
      <c r="Q37">
        <v>3</v>
      </c>
      <c r="R37">
        <v>7</v>
      </c>
      <c r="S37" t="s">
        <v>36</v>
      </c>
      <c r="T37">
        <v>82</v>
      </c>
      <c r="U37">
        <v>5.5</v>
      </c>
      <c r="V37">
        <v>68.5</v>
      </c>
      <c r="W37">
        <v>59.550000000000004</v>
      </c>
      <c r="X37">
        <v>60.375</v>
      </c>
      <c r="Y37">
        <v>0</v>
      </c>
      <c r="Z37" t="s">
        <v>37</v>
      </c>
    </row>
    <row r="38" spans="1:26" x14ac:dyDescent="0.45">
      <c r="A38" t="s">
        <v>130</v>
      </c>
      <c r="B38" t="s">
        <v>100</v>
      </c>
      <c r="C38" t="s">
        <v>40</v>
      </c>
      <c r="D38" t="s">
        <v>88</v>
      </c>
      <c r="E38" t="s">
        <v>85</v>
      </c>
      <c r="F38" t="s">
        <v>59</v>
      </c>
      <c r="G38">
        <v>36642259460</v>
      </c>
      <c r="H38" t="s">
        <v>53</v>
      </c>
      <c r="I38" t="s">
        <v>67</v>
      </c>
      <c r="J38" t="s">
        <v>68</v>
      </c>
      <c r="K38" t="s">
        <v>55</v>
      </c>
      <c r="L38">
        <v>4</v>
      </c>
      <c r="M38">
        <v>9</v>
      </c>
      <c r="N38">
        <v>7</v>
      </c>
      <c r="O38">
        <v>9</v>
      </c>
      <c r="P38">
        <v>9</v>
      </c>
      <c r="Q38">
        <v>9</v>
      </c>
      <c r="R38">
        <v>7</v>
      </c>
      <c r="S38" t="s">
        <v>36</v>
      </c>
      <c r="T38">
        <v>73</v>
      </c>
      <c r="U38">
        <v>7.833333333333333</v>
      </c>
      <c r="V38">
        <v>75.666666666666657</v>
      </c>
      <c r="W38">
        <v>64.116666666666674</v>
      </c>
      <c r="X38">
        <v>59.958333333333336</v>
      </c>
      <c r="Y38">
        <v>0</v>
      </c>
      <c r="Z38" t="s">
        <v>37</v>
      </c>
    </row>
    <row r="39" spans="1:26" x14ac:dyDescent="0.45">
      <c r="A39" t="s">
        <v>131</v>
      </c>
      <c r="B39" t="s">
        <v>74</v>
      </c>
      <c r="C39" t="s">
        <v>75</v>
      </c>
      <c r="D39" t="s">
        <v>29</v>
      </c>
      <c r="E39" t="s">
        <v>76</v>
      </c>
      <c r="F39" t="s">
        <v>89</v>
      </c>
      <c r="G39">
        <v>48553527810</v>
      </c>
      <c r="H39" t="s">
        <v>32</v>
      </c>
      <c r="I39" t="s">
        <v>33</v>
      </c>
      <c r="J39" t="s">
        <v>46</v>
      </c>
      <c r="K39" t="s">
        <v>55</v>
      </c>
      <c r="L39">
        <v>2</v>
      </c>
      <c r="M39">
        <v>9</v>
      </c>
      <c r="N39">
        <v>4</v>
      </c>
      <c r="O39">
        <v>9</v>
      </c>
      <c r="P39">
        <v>7</v>
      </c>
      <c r="Q39">
        <v>3</v>
      </c>
      <c r="R39">
        <v>9</v>
      </c>
      <c r="S39" t="s">
        <v>48</v>
      </c>
      <c r="T39">
        <v>44</v>
      </c>
      <c r="U39">
        <v>5.666666666666667</v>
      </c>
      <c r="V39">
        <v>50.333333333333336</v>
      </c>
      <c r="W39">
        <v>39.933333333333337</v>
      </c>
      <c r="X39">
        <v>35.166666666666671</v>
      </c>
      <c r="Y39">
        <v>1</v>
      </c>
      <c r="Z39" t="s">
        <v>37</v>
      </c>
    </row>
    <row r="40" spans="1:26" x14ac:dyDescent="0.45">
      <c r="A40" t="s">
        <v>132</v>
      </c>
      <c r="B40" t="s">
        <v>39</v>
      </c>
      <c r="C40" t="s">
        <v>40</v>
      </c>
      <c r="D40" t="s">
        <v>41</v>
      </c>
      <c r="E40" t="s">
        <v>52</v>
      </c>
      <c r="F40" t="s">
        <v>65</v>
      </c>
      <c r="G40">
        <v>7605780754</v>
      </c>
      <c r="H40" t="s">
        <v>32</v>
      </c>
      <c r="I40" t="s">
        <v>45</v>
      </c>
      <c r="J40" t="s">
        <v>107</v>
      </c>
      <c r="K40" t="s">
        <v>47</v>
      </c>
      <c r="L40">
        <v>6</v>
      </c>
      <c r="M40">
        <v>9</v>
      </c>
      <c r="N40">
        <v>6</v>
      </c>
      <c r="O40">
        <v>3</v>
      </c>
      <c r="P40">
        <v>5</v>
      </c>
      <c r="Q40">
        <v>2</v>
      </c>
      <c r="R40">
        <v>5</v>
      </c>
      <c r="S40" t="s">
        <v>36</v>
      </c>
      <c r="T40">
        <v>66</v>
      </c>
      <c r="U40">
        <v>5.166666666666667</v>
      </c>
      <c r="V40">
        <v>58.833333333333336</v>
      </c>
      <c r="W40">
        <v>56.983333333333334</v>
      </c>
      <c r="X40">
        <v>58.291666666666671</v>
      </c>
      <c r="Y40">
        <v>0</v>
      </c>
      <c r="Z40" t="s">
        <v>37</v>
      </c>
    </row>
    <row r="41" spans="1:26" x14ac:dyDescent="0.45">
      <c r="A41" t="s">
        <v>133</v>
      </c>
      <c r="B41" t="s">
        <v>92</v>
      </c>
      <c r="C41" t="s">
        <v>75</v>
      </c>
      <c r="D41" t="s">
        <v>41</v>
      </c>
      <c r="E41" t="s">
        <v>52</v>
      </c>
      <c r="F41" t="s">
        <v>59</v>
      </c>
      <c r="G41">
        <v>27385209965</v>
      </c>
      <c r="H41" t="s">
        <v>80</v>
      </c>
      <c r="I41" t="s">
        <v>67</v>
      </c>
      <c r="J41" t="s">
        <v>115</v>
      </c>
      <c r="K41" t="s">
        <v>90</v>
      </c>
      <c r="L41">
        <v>2</v>
      </c>
      <c r="M41">
        <v>7</v>
      </c>
      <c r="N41">
        <v>6</v>
      </c>
      <c r="O41">
        <v>4</v>
      </c>
      <c r="P41">
        <v>3</v>
      </c>
      <c r="Q41">
        <v>7</v>
      </c>
      <c r="R41">
        <v>6</v>
      </c>
      <c r="S41" t="s">
        <v>36</v>
      </c>
      <c r="T41">
        <v>72</v>
      </c>
      <c r="U41">
        <v>4.833333333333333</v>
      </c>
      <c r="V41">
        <v>60.166666666666664</v>
      </c>
      <c r="W41">
        <v>55.716666666666669</v>
      </c>
      <c r="X41">
        <v>57.458333333333329</v>
      </c>
      <c r="Y41">
        <v>0</v>
      </c>
      <c r="Z41" t="s">
        <v>37</v>
      </c>
    </row>
    <row r="42" spans="1:26" x14ac:dyDescent="0.45">
      <c r="A42" t="s">
        <v>134</v>
      </c>
      <c r="B42" t="s">
        <v>57</v>
      </c>
      <c r="C42" t="s">
        <v>58</v>
      </c>
      <c r="D42" t="s">
        <v>96</v>
      </c>
      <c r="E42" t="s">
        <v>79</v>
      </c>
      <c r="F42" t="s">
        <v>43</v>
      </c>
      <c r="G42">
        <v>8065697938</v>
      </c>
      <c r="H42" t="s">
        <v>66</v>
      </c>
      <c r="I42" t="s">
        <v>81</v>
      </c>
      <c r="J42" t="s">
        <v>34</v>
      </c>
      <c r="K42" t="s">
        <v>90</v>
      </c>
      <c r="L42">
        <v>8</v>
      </c>
      <c r="M42">
        <v>6</v>
      </c>
      <c r="N42">
        <v>5</v>
      </c>
      <c r="O42">
        <v>8</v>
      </c>
      <c r="P42">
        <v>2</v>
      </c>
      <c r="Q42">
        <v>7</v>
      </c>
      <c r="R42">
        <v>3</v>
      </c>
      <c r="S42" t="s">
        <v>61</v>
      </c>
      <c r="T42">
        <v>87</v>
      </c>
      <c r="U42">
        <v>6</v>
      </c>
      <c r="V42">
        <v>73.5</v>
      </c>
      <c r="W42">
        <v>73.300000000000011</v>
      </c>
      <c r="X42">
        <v>76.75</v>
      </c>
      <c r="Y42">
        <v>0</v>
      </c>
      <c r="Z42" t="s">
        <v>37</v>
      </c>
    </row>
    <row r="43" spans="1:26" x14ac:dyDescent="0.45">
      <c r="A43" t="s">
        <v>135</v>
      </c>
      <c r="B43" t="s">
        <v>106</v>
      </c>
      <c r="C43" t="s">
        <v>28</v>
      </c>
      <c r="D43" t="s">
        <v>96</v>
      </c>
      <c r="E43" t="s">
        <v>76</v>
      </c>
      <c r="F43" t="s">
        <v>59</v>
      </c>
      <c r="G43">
        <v>15567023111</v>
      </c>
      <c r="H43" t="s">
        <v>53</v>
      </c>
      <c r="I43" t="s">
        <v>81</v>
      </c>
      <c r="J43" t="s">
        <v>115</v>
      </c>
      <c r="K43" t="s">
        <v>120</v>
      </c>
      <c r="L43">
        <v>8</v>
      </c>
      <c r="M43">
        <v>7</v>
      </c>
      <c r="N43">
        <v>4</v>
      </c>
      <c r="O43">
        <v>10</v>
      </c>
      <c r="P43">
        <v>9</v>
      </c>
      <c r="Q43">
        <v>4</v>
      </c>
      <c r="R43">
        <v>6</v>
      </c>
      <c r="S43" t="s">
        <v>36</v>
      </c>
      <c r="T43">
        <v>57</v>
      </c>
      <c r="U43">
        <v>7</v>
      </c>
      <c r="V43">
        <v>63.5</v>
      </c>
      <c r="W43">
        <v>57.3</v>
      </c>
      <c r="X43">
        <v>53.75</v>
      </c>
      <c r="Y43">
        <v>0</v>
      </c>
      <c r="Z43" t="s">
        <v>37</v>
      </c>
    </row>
    <row r="44" spans="1:26" x14ac:dyDescent="0.45">
      <c r="A44" t="s">
        <v>136</v>
      </c>
      <c r="B44" t="s">
        <v>27</v>
      </c>
      <c r="C44" t="s">
        <v>28</v>
      </c>
      <c r="D44" t="s">
        <v>96</v>
      </c>
      <c r="E44" t="s">
        <v>52</v>
      </c>
      <c r="F44" t="s">
        <v>59</v>
      </c>
      <c r="G44">
        <v>26997241857</v>
      </c>
      <c r="H44" t="s">
        <v>53</v>
      </c>
      <c r="I44" t="s">
        <v>67</v>
      </c>
      <c r="J44" t="s">
        <v>115</v>
      </c>
      <c r="K44" t="s">
        <v>90</v>
      </c>
      <c r="L44">
        <v>7</v>
      </c>
      <c r="M44">
        <v>4</v>
      </c>
      <c r="N44">
        <v>8</v>
      </c>
      <c r="O44">
        <v>6</v>
      </c>
      <c r="P44">
        <v>7</v>
      </c>
      <c r="Q44">
        <v>5</v>
      </c>
      <c r="R44">
        <v>9</v>
      </c>
      <c r="S44" t="s">
        <v>48</v>
      </c>
      <c r="T44">
        <v>85</v>
      </c>
      <c r="U44">
        <v>6.166666666666667</v>
      </c>
      <c r="V44">
        <v>73.333333333333343</v>
      </c>
      <c r="W44">
        <v>58.083333333333329</v>
      </c>
      <c r="X44">
        <v>56.541666666666664</v>
      </c>
      <c r="Y44">
        <v>1</v>
      </c>
      <c r="Z44" t="s">
        <v>37</v>
      </c>
    </row>
    <row r="45" spans="1:26" x14ac:dyDescent="0.45">
      <c r="A45" t="s">
        <v>137</v>
      </c>
      <c r="B45" t="s">
        <v>87</v>
      </c>
      <c r="C45" t="s">
        <v>64</v>
      </c>
      <c r="D45" t="s">
        <v>51</v>
      </c>
      <c r="E45" t="s">
        <v>30</v>
      </c>
      <c r="F45" t="s">
        <v>65</v>
      </c>
      <c r="G45">
        <v>13008818272</v>
      </c>
      <c r="H45" t="s">
        <v>44</v>
      </c>
      <c r="I45" t="s">
        <v>98</v>
      </c>
      <c r="J45" t="s">
        <v>115</v>
      </c>
      <c r="K45" t="s">
        <v>90</v>
      </c>
      <c r="L45">
        <v>6</v>
      </c>
      <c r="M45">
        <v>9</v>
      </c>
      <c r="N45">
        <v>5</v>
      </c>
      <c r="O45">
        <v>10</v>
      </c>
      <c r="P45">
        <v>5</v>
      </c>
      <c r="Q45">
        <v>2</v>
      </c>
      <c r="R45">
        <v>3</v>
      </c>
      <c r="S45" t="s">
        <v>61</v>
      </c>
      <c r="T45">
        <v>73</v>
      </c>
      <c r="U45">
        <v>6.166666666666667</v>
      </c>
      <c r="V45">
        <v>67.333333333333343</v>
      </c>
      <c r="W45">
        <v>68.283333333333331</v>
      </c>
      <c r="X45">
        <v>70.041666666666657</v>
      </c>
      <c r="Y45">
        <v>0</v>
      </c>
      <c r="Z45" t="s">
        <v>37</v>
      </c>
    </row>
    <row r="46" spans="1:26" x14ac:dyDescent="0.45">
      <c r="A46" t="s">
        <v>138</v>
      </c>
      <c r="B46" t="s">
        <v>63</v>
      </c>
      <c r="C46" t="s">
        <v>64</v>
      </c>
      <c r="D46" t="s">
        <v>101</v>
      </c>
      <c r="E46" t="s">
        <v>76</v>
      </c>
      <c r="F46" t="s">
        <v>65</v>
      </c>
      <c r="G46">
        <v>47017634564</v>
      </c>
      <c r="H46" t="s">
        <v>72</v>
      </c>
      <c r="I46" t="s">
        <v>45</v>
      </c>
      <c r="J46" t="s">
        <v>46</v>
      </c>
      <c r="K46" t="s">
        <v>120</v>
      </c>
      <c r="L46">
        <v>6</v>
      </c>
      <c r="M46">
        <v>2</v>
      </c>
      <c r="N46">
        <v>5</v>
      </c>
      <c r="O46">
        <v>7</v>
      </c>
      <c r="P46">
        <v>8</v>
      </c>
      <c r="Q46">
        <v>5</v>
      </c>
      <c r="R46">
        <v>8</v>
      </c>
      <c r="S46" t="s">
        <v>48</v>
      </c>
      <c r="T46">
        <v>53</v>
      </c>
      <c r="U46">
        <v>5.5</v>
      </c>
      <c r="V46">
        <v>54</v>
      </c>
      <c r="W46">
        <v>45.45</v>
      </c>
      <c r="X46">
        <v>42.625</v>
      </c>
      <c r="Y46">
        <v>1</v>
      </c>
      <c r="Z46" t="s">
        <v>37</v>
      </c>
    </row>
    <row r="47" spans="1:26" x14ac:dyDescent="0.45">
      <c r="A47" t="s">
        <v>139</v>
      </c>
      <c r="B47" t="s">
        <v>104</v>
      </c>
      <c r="C47" t="s">
        <v>64</v>
      </c>
      <c r="D47" t="s">
        <v>88</v>
      </c>
      <c r="E47" t="s">
        <v>30</v>
      </c>
      <c r="F47" t="s">
        <v>65</v>
      </c>
      <c r="G47">
        <v>43127088467</v>
      </c>
      <c r="H47" t="s">
        <v>80</v>
      </c>
      <c r="I47" t="s">
        <v>67</v>
      </c>
      <c r="J47" t="s">
        <v>115</v>
      </c>
      <c r="K47" t="s">
        <v>120</v>
      </c>
      <c r="L47">
        <v>9</v>
      </c>
      <c r="M47">
        <v>4</v>
      </c>
      <c r="N47">
        <v>2</v>
      </c>
      <c r="O47">
        <v>6</v>
      </c>
      <c r="P47">
        <v>3</v>
      </c>
      <c r="Q47">
        <v>5</v>
      </c>
      <c r="R47">
        <v>5</v>
      </c>
      <c r="S47" t="s">
        <v>36</v>
      </c>
      <c r="T47">
        <v>62</v>
      </c>
      <c r="U47">
        <v>4.833333333333333</v>
      </c>
      <c r="V47">
        <v>55.166666666666664</v>
      </c>
      <c r="W47">
        <v>54.216666666666669</v>
      </c>
      <c r="X47">
        <v>55.708333333333329</v>
      </c>
      <c r="Y47">
        <v>0</v>
      </c>
      <c r="Z47" t="s">
        <v>37</v>
      </c>
    </row>
    <row r="48" spans="1:26" x14ac:dyDescent="0.45">
      <c r="A48" t="s">
        <v>140</v>
      </c>
      <c r="B48" t="s">
        <v>141</v>
      </c>
      <c r="C48" t="s">
        <v>28</v>
      </c>
      <c r="D48" t="s">
        <v>101</v>
      </c>
      <c r="E48" t="s">
        <v>85</v>
      </c>
      <c r="F48" t="s">
        <v>31</v>
      </c>
      <c r="G48">
        <v>37432190343</v>
      </c>
      <c r="H48" t="s">
        <v>72</v>
      </c>
      <c r="I48" t="s">
        <v>67</v>
      </c>
      <c r="J48" t="s">
        <v>68</v>
      </c>
      <c r="K48" t="s">
        <v>35</v>
      </c>
      <c r="L48">
        <v>8</v>
      </c>
      <c r="M48">
        <v>3</v>
      </c>
      <c r="N48">
        <v>8</v>
      </c>
      <c r="O48">
        <v>5</v>
      </c>
      <c r="P48">
        <v>7</v>
      </c>
      <c r="Q48">
        <v>9</v>
      </c>
      <c r="R48">
        <v>8</v>
      </c>
      <c r="S48" t="s">
        <v>36</v>
      </c>
      <c r="T48">
        <v>55</v>
      </c>
      <c r="U48">
        <v>6.666666666666667</v>
      </c>
      <c r="V48">
        <v>60.833333333333336</v>
      </c>
      <c r="W48">
        <v>50.333333333333329</v>
      </c>
      <c r="X48">
        <v>45.666666666666664</v>
      </c>
      <c r="Y48">
        <v>0</v>
      </c>
      <c r="Z48" t="s">
        <v>37</v>
      </c>
    </row>
    <row r="49" spans="1:26" x14ac:dyDescent="0.45">
      <c r="A49" t="s">
        <v>142</v>
      </c>
      <c r="B49" t="s">
        <v>123</v>
      </c>
      <c r="C49" t="s">
        <v>75</v>
      </c>
      <c r="D49" t="s">
        <v>29</v>
      </c>
      <c r="E49" t="s">
        <v>85</v>
      </c>
      <c r="F49" t="s">
        <v>89</v>
      </c>
      <c r="G49">
        <v>43231177731</v>
      </c>
      <c r="H49" t="s">
        <v>53</v>
      </c>
      <c r="I49" t="s">
        <v>98</v>
      </c>
      <c r="J49" t="s">
        <v>107</v>
      </c>
      <c r="K49" t="s">
        <v>55</v>
      </c>
      <c r="L49">
        <v>4</v>
      </c>
      <c r="M49">
        <v>3</v>
      </c>
      <c r="N49">
        <v>9</v>
      </c>
      <c r="O49">
        <v>7</v>
      </c>
      <c r="P49">
        <v>6</v>
      </c>
      <c r="Q49">
        <v>6</v>
      </c>
      <c r="R49">
        <v>9</v>
      </c>
      <c r="S49" t="s">
        <v>48</v>
      </c>
      <c r="T49">
        <v>48</v>
      </c>
      <c r="U49">
        <v>5.833333333333333</v>
      </c>
      <c r="V49">
        <v>53.166666666666664</v>
      </c>
      <c r="W49">
        <v>42.116666666666667</v>
      </c>
      <c r="X49">
        <v>37.458333333333329</v>
      </c>
      <c r="Y49">
        <v>1</v>
      </c>
      <c r="Z49" t="s">
        <v>37</v>
      </c>
    </row>
    <row r="50" spans="1:26" x14ac:dyDescent="0.45">
      <c r="A50" t="s">
        <v>143</v>
      </c>
      <c r="B50" t="s">
        <v>74</v>
      </c>
      <c r="C50" t="s">
        <v>75</v>
      </c>
      <c r="D50" t="s">
        <v>29</v>
      </c>
      <c r="E50" t="s">
        <v>76</v>
      </c>
      <c r="F50" t="s">
        <v>65</v>
      </c>
      <c r="G50">
        <v>22474806697</v>
      </c>
      <c r="H50" t="s">
        <v>66</v>
      </c>
      <c r="I50" t="s">
        <v>54</v>
      </c>
      <c r="J50" t="s">
        <v>46</v>
      </c>
      <c r="K50" t="s">
        <v>82</v>
      </c>
      <c r="L50">
        <v>4</v>
      </c>
      <c r="M50">
        <v>6</v>
      </c>
      <c r="N50">
        <v>5</v>
      </c>
      <c r="O50">
        <v>6</v>
      </c>
      <c r="P50">
        <v>6</v>
      </c>
      <c r="Q50">
        <v>9</v>
      </c>
      <c r="R50">
        <v>4</v>
      </c>
      <c r="S50" t="s">
        <v>61</v>
      </c>
      <c r="T50">
        <v>42</v>
      </c>
      <c r="U50">
        <v>6</v>
      </c>
      <c r="V50">
        <v>51</v>
      </c>
      <c r="W50">
        <v>52.8</v>
      </c>
      <c r="X50">
        <v>51</v>
      </c>
      <c r="Y50">
        <v>0</v>
      </c>
      <c r="Z50" t="s">
        <v>37</v>
      </c>
    </row>
    <row r="51" spans="1:26" x14ac:dyDescent="0.45">
      <c r="A51" t="s">
        <v>144</v>
      </c>
      <c r="B51" t="s">
        <v>106</v>
      </c>
      <c r="C51" t="s">
        <v>28</v>
      </c>
      <c r="D51" t="s">
        <v>101</v>
      </c>
      <c r="E51" t="s">
        <v>76</v>
      </c>
      <c r="F51" t="s">
        <v>59</v>
      </c>
      <c r="G51">
        <v>24415104017</v>
      </c>
      <c r="H51" t="s">
        <v>66</v>
      </c>
      <c r="I51" t="s">
        <v>33</v>
      </c>
      <c r="J51" t="s">
        <v>60</v>
      </c>
      <c r="K51" t="s">
        <v>120</v>
      </c>
      <c r="L51">
        <v>8</v>
      </c>
      <c r="M51">
        <v>3</v>
      </c>
      <c r="N51">
        <v>5</v>
      </c>
      <c r="O51">
        <v>3</v>
      </c>
      <c r="P51">
        <v>8</v>
      </c>
      <c r="Q51">
        <v>5</v>
      </c>
      <c r="R51">
        <v>8</v>
      </c>
      <c r="S51" t="s">
        <v>48</v>
      </c>
      <c r="T51">
        <v>41</v>
      </c>
      <c r="U51">
        <v>5.333333333333333</v>
      </c>
      <c r="V51">
        <v>47.166666666666664</v>
      </c>
      <c r="W51">
        <v>40.066666666666663</v>
      </c>
      <c r="X51">
        <v>36.333333333333329</v>
      </c>
      <c r="Y51">
        <v>1</v>
      </c>
      <c r="Z51" t="s">
        <v>37</v>
      </c>
    </row>
    <row r="52" spans="1:26" x14ac:dyDescent="0.45">
      <c r="A52" t="s">
        <v>145</v>
      </c>
      <c r="B52" t="s">
        <v>104</v>
      </c>
      <c r="C52" t="s">
        <v>64</v>
      </c>
      <c r="D52" t="s">
        <v>88</v>
      </c>
      <c r="E52" t="s">
        <v>76</v>
      </c>
      <c r="F52" t="s">
        <v>43</v>
      </c>
      <c r="G52">
        <v>14709477076</v>
      </c>
      <c r="H52" t="s">
        <v>80</v>
      </c>
      <c r="I52" t="s">
        <v>81</v>
      </c>
      <c r="J52" t="s">
        <v>68</v>
      </c>
      <c r="K52" t="s">
        <v>90</v>
      </c>
      <c r="L52">
        <v>7</v>
      </c>
      <c r="M52">
        <v>6</v>
      </c>
      <c r="N52">
        <v>6</v>
      </c>
      <c r="O52">
        <v>6</v>
      </c>
      <c r="P52">
        <v>5</v>
      </c>
      <c r="Q52">
        <v>7</v>
      </c>
      <c r="R52">
        <v>8</v>
      </c>
      <c r="S52" t="s">
        <v>48</v>
      </c>
      <c r="T52">
        <v>51</v>
      </c>
      <c r="U52">
        <v>6.166666666666667</v>
      </c>
      <c r="V52">
        <v>56.333333333333336</v>
      </c>
      <c r="W52">
        <v>46.983333333333334</v>
      </c>
      <c r="X52">
        <v>42.791666666666664</v>
      </c>
      <c r="Y52">
        <v>1</v>
      </c>
      <c r="Z52" t="s">
        <v>37</v>
      </c>
    </row>
    <row r="53" spans="1:26" x14ac:dyDescent="0.45">
      <c r="A53" t="s">
        <v>146</v>
      </c>
      <c r="B53" t="s">
        <v>100</v>
      </c>
      <c r="C53" t="s">
        <v>40</v>
      </c>
      <c r="D53" t="s">
        <v>41</v>
      </c>
      <c r="E53" t="s">
        <v>42</v>
      </c>
      <c r="F53" t="s">
        <v>89</v>
      </c>
      <c r="G53">
        <v>6954051648</v>
      </c>
      <c r="H53" t="s">
        <v>44</v>
      </c>
      <c r="I53" t="s">
        <v>81</v>
      </c>
      <c r="J53" t="s">
        <v>60</v>
      </c>
      <c r="K53" t="s">
        <v>82</v>
      </c>
      <c r="L53">
        <v>6</v>
      </c>
      <c r="M53">
        <v>5</v>
      </c>
      <c r="N53">
        <v>5</v>
      </c>
      <c r="O53">
        <v>8</v>
      </c>
      <c r="P53">
        <v>4</v>
      </c>
      <c r="Q53">
        <v>3</v>
      </c>
      <c r="R53">
        <v>5</v>
      </c>
      <c r="S53" t="s">
        <v>36</v>
      </c>
      <c r="T53">
        <v>78</v>
      </c>
      <c r="U53">
        <v>5.166666666666667</v>
      </c>
      <c r="V53">
        <v>64.833333333333343</v>
      </c>
      <c r="W53">
        <v>61.783333333333331</v>
      </c>
      <c r="X53">
        <v>64.291666666666657</v>
      </c>
      <c r="Y53">
        <v>0</v>
      </c>
      <c r="Z53" t="s">
        <v>37</v>
      </c>
    </row>
    <row r="54" spans="1:26" x14ac:dyDescent="0.45">
      <c r="A54" t="s">
        <v>147</v>
      </c>
      <c r="B54" t="s">
        <v>100</v>
      </c>
      <c r="C54" t="s">
        <v>40</v>
      </c>
      <c r="D54" t="s">
        <v>51</v>
      </c>
      <c r="E54" t="s">
        <v>79</v>
      </c>
      <c r="F54" t="s">
        <v>89</v>
      </c>
      <c r="G54">
        <v>2899109691</v>
      </c>
      <c r="H54" t="s">
        <v>72</v>
      </c>
      <c r="I54" t="s">
        <v>98</v>
      </c>
      <c r="J54" t="s">
        <v>46</v>
      </c>
      <c r="K54" t="s">
        <v>120</v>
      </c>
      <c r="L54">
        <v>9</v>
      </c>
      <c r="M54">
        <v>2</v>
      </c>
      <c r="N54">
        <v>6</v>
      </c>
      <c r="O54">
        <v>4</v>
      </c>
      <c r="P54">
        <v>6</v>
      </c>
      <c r="Q54">
        <v>8</v>
      </c>
      <c r="R54">
        <v>8</v>
      </c>
      <c r="S54" t="s">
        <v>48</v>
      </c>
      <c r="T54">
        <v>73</v>
      </c>
      <c r="U54">
        <v>5.833333333333333</v>
      </c>
      <c r="V54">
        <v>65.666666666666657</v>
      </c>
      <c r="W54">
        <v>54.616666666666667</v>
      </c>
      <c r="X54">
        <v>53.208333333333329</v>
      </c>
      <c r="Y54">
        <v>1</v>
      </c>
      <c r="Z54" t="s">
        <v>37</v>
      </c>
    </row>
    <row r="55" spans="1:26" x14ac:dyDescent="0.45">
      <c r="A55" t="s">
        <v>148</v>
      </c>
      <c r="B55" t="s">
        <v>117</v>
      </c>
      <c r="C55" t="s">
        <v>71</v>
      </c>
      <c r="D55" t="s">
        <v>96</v>
      </c>
      <c r="E55" t="s">
        <v>79</v>
      </c>
      <c r="F55" t="s">
        <v>89</v>
      </c>
      <c r="G55">
        <v>34958158067</v>
      </c>
      <c r="H55" t="s">
        <v>66</v>
      </c>
      <c r="I55" t="s">
        <v>81</v>
      </c>
      <c r="J55" t="s">
        <v>107</v>
      </c>
      <c r="K55" t="s">
        <v>120</v>
      </c>
      <c r="L55">
        <v>8</v>
      </c>
      <c r="M55">
        <v>8</v>
      </c>
      <c r="N55">
        <v>7</v>
      </c>
      <c r="O55">
        <v>5</v>
      </c>
      <c r="P55">
        <v>4</v>
      </c>
      <c r="Q55">
        <v>9</v>
      </c>
      <c r="R55">
        <v>6</v>
      </c>
      <c r="S55" t="s">
        <v>36</v>
      </c>
      <c r="T55">
        <v>43</v>
      </c>
      <c r="U55">
        <v>6.833333333333333</v>
      </c>
      <c r="V55">
        <v>55.666666666666664</v>
      </c>
      <c r="W55">
        <v>51.11666666666666</v>
      </c>
      <c r="X55">
        <v>46.458333333333329</v>
      </c>
      <c r="Y55">
        <v>0</v>
      </c>
      <c r="Z55" t="s">
        <v>37</v>
      </c>
    </row>
    <row r="56" spans="1:26" x14ac:dyDescent="0.45">
      <c r="A56" t="s">
        <v>149</v>
      </c>
      <c r="B56" t="s">
        <v>63</v>
      </c>
      <c r="C56" t="s">
        <v>64</v>
      </c>
      <c r="D56" t="s">
        <v>101</v>
      </c>
      <c r="E56" t="s">
        <v>79</v>
      </c>
      <c r="F56" t="s">
        <v>31</v>
      </c>
      <c r="G56">
        <v>34867315058</v>
      </c>
      <c r="H56" t="s">
        <v>66</v>
      </c>
      <c r="I56" t="s">
        <v>45</v>
      </c>
      <c r="J56" t="s">
        <v>34</v>
      </c>
      <c r="K56" t="s">
        <v>35</v>
      </c>
      <c r="L56">
        <v>4</v>
      </c>
      <c r="M56">
        <v>4</v>
      </c>
      <c r="N56">
        <v>7</v>
      </c>
      <c r="O56">
        <v>10</v>
      </c>
      <c r="P56">
        <v>6</v>
      </c>
      <c r="Q56">
        <v>3</v>
      </c>
      <c r="R56">
        <v>10</v>
      </c>
      <c r="S56" t="s">
        <v>48</v>
      </c>
      <c r="T56">
        <v>90</v>
      </c>
      <c r="U56">
        <v>5.666666666666667</v>
      </c>
      <c r="V56">
        <v>73.333333333333343</v>
      </c>
      <c r="W56">
        <v>55.833333333333329</v>
      </c>
      <c r="X56">
        <v>54.916666666666664</v>
      </c>
      <c r="Y56">
        <v>1</v>
      </c>
      <c r="Z56" t="s">
        <v>37</v>
      </c>
    </row>
    <row r="57" spans="1:26" x14ac:dyDescent="0.45">
      <c r="A57" t="s">
        <v>150</v>
      </c>
      <c r="B57" t="s">
        <v>100</v>
      </c>
      <c r="C57" t="s">
        <v>40</v>
      </c>
      <c r="D57" t="s">
        <v>51</v>
      </c>
      <c r="E57" t="s">
        <v>79</v>
      </c>
      <c r="F57" t="s">
        <v>59</v>
      </c>
      <c r="G57">
        <v>41580627847</v>
      </c>
      <c r="H57" t="s">
        <v>72</v>
      </c>
      <c r="I57" t="s">
        <v>67</v>
      </c>
      <c r="J57" t="s">
        <v>34</v>
      </c>
      <c r="K57" t="s">
        <v>55</v>
      </c>
      <c r="L57">
        <v>7</v>
      </c>
      <c r="M57">
        <v>7</v>
      </c>
      <c r="N57">
        <v>4</v>
      </c>
      <c r="O57">
        <v>7</v>
      </c>
      <c r="P57">
        <v>2</v>
      </c>
      <c r="Q57">
        <v>6</v>
      </c>
      <c r="R57">
        <v>9</v>
      </c>
      <c r="S57" t="s">
        <v>48</v>
      </c>
      <c r="T57">
        <v>78</v>
      </c>
      <c r="U57">
        <v>5.5</v>
      </c>
      <c r="V57">
        <v>66.5</v>
      </c>
      <c r="W57">
        <v>52.95</v>
      </c>
      <c r="X57">
        <v>51.875</v>
      </c>
      <c r="Y57">
        <v>1</v>
      </c>
      <c r="Z57" t="s">
        <v>37</v>
      </c>
    </row>
    <row r="58" spans="1:26" x14ac:dyDescent="0.45">
      <c r="A58" t="s">
        <v>151</v>
      </c>
      <c r="B58" t="s">
        <v>39</v>
      </c>
      <c r="C58" t="s">
        <v>40</v>
      </c>
      <c r="D58" t="s">
        <v>88</v>
      </c>
      <c r="E58" t="s">
        <v>85</v>
      </c>
      <c r="F58" t="s">
        <v>43</v>
      </c>
      <c r="G58">
        <v>39251832821</v>
      </c>
      <c r="H58" t="s">
        <v>53</v>
      </c>
      <c r="I58" t="s">
        <v>54</v>
      </c>
      <c r="J58" t="s">
        <v>60</v>
      </c>
      <c r="K58" t="s">
        <v>47</v>
      </c>
      <c r="L58">
        <v>7</v>
      </c>
      <c r="M58">
        <v>3</v>
      </c>
      <c r="N58">
        <v>4</v>
      </c>
      <c r="O58">
        <v>10</v>
      </c>
      <c r="P58">
        <v>4</v>
      </c>
      <c r="Q58">
        <v>2</v>
      </c>
      <c r="R58">
        <v>6</v>
      </c>
      <c r="S58" t="s">
        <v>36</v>
      </c>
      <c r="T58">
        <v>63</v>
      </c>
      <c r="U58">
        <v>5</v>
      </c>
      <c r="V58">
        <v>56.5</v>
      </c>
      <c r="W58">
        <v>52.7</v>
      </c>
      <c r="X58">
        <v>53.25</v>
      </c>
      <c r="Y58">
        <v>0</v>
      </c>
      <c r="Z58" t="s">
        <v>37</v>
      </c>
    </row>
    <row r="59" spans="1:26" x14ac:dyDescent="0.45">
      <c r="A59" t="s">
        <v>152</v>
      </c>
      <c r="B59" t="s">
        <v>141</v>
      </c>
      <c r="C59" t="s">
        <v>28</v>
      </c>
      <c r="D59" t="s">
        <v>96</v>
      </c>
      <c r="E59" t="s">
        <v>76</v>
      </c>
      <c r="F59" t="s">
        <v>89</v>
      </c>
      <c r="G59">
        <v>26455862566</v>
      </c>
      <c r="H59" t="s">
        <v>53</v>
      </c>
      <c r="I59" t="s">
        <v>33</v>
      </c>
      <c r="J59" t="s">
        <v>60</v>
      </c>
      <c r="K59" t="s">
        <v>82</v>
      </c>
      <c r="L59">
        <v>5</v>
      </c>
      <c r="M59">
        <v>3</v>
      </c>
      <c r="N59">
        <v>3</v>
      </c>
      <c r="O59">
        <v>7</v>
      </c>
      <c r="P59">
        <v>2</v>
      </c>
      <c r="Q59">
        <v>5</v>
      </c>
      <c r="R59">
        <v>3</v>
      </c>
      <c r="S59" t="s">
        <v>61</v>
      </c>
      <c r="T59">
        <v>54</v>
      </c>
      <c r="U59">
        <v>4.166666666666667</v>
      </c>
      <c r="V59">
        <v>47.833333333333336</v>
      </c>
      <c r="W59">
        <v>53.683333333333337</v>
      </c>
      <c r="X59">
        <v>57.041666666666671</v>
      </c>
      <c r="Y59">
        <v>0</v>
      </c>
      <c r="Z59" t="s">
        <v>37</v>
      </c>
    </row>
    <row r="60" spans="1:26" x14ac:dyDescent="0.45">
      <c r="A60" t="s">
        <v>153</v>
      </c>
      <c r="B60" t="s">
        <v>92</v>
      </c>
      <c r="C60" t="s">
        <v>75</v>
      </c>
      <c r="D60" t="s">
        <v>51</v>
      </c>
      <c r="E60" t="s">
        <v>79</v>
      </c>
      <c r="F60" t="s">
        <v>43</v>
      </c>
      <c r="G60">
        <v>32596797420</v>
      </c>
      <c r="H60" t="s">
        <v>80</v>
      </c>
      <c r="I60" t="s">
        <v>54</v>
      </c>
      <c r="J60" t="s">
        <v>60</v>
      </c>
      <c r="K60" t="s">
        <v>120</v>
      </c>
      <c r="L60">
        <v>5</v>
      </c>
      <c r="M60">
        <v>6</v>
      </c>
      <c r="N60">
        <v>5</v>
      </c>
      <c r="O60">
        <v>4</v>
      </c>
      <c r="P60">
        <v>9</v>
      </c>
      <c r="Q60">
        <v>7</v>
      </c>
      <c r="R60">
        <v>10</v>
      </c>
      <c r="S60" t="s">
        <v>48</v>
      </c>
      <c r="T60">
        <v>45</v>
      </c>
      <c r="U60">
        <v>6</v>
      </c>
      <c r="V60">
        <v>52.5</v>
      </c>
      <c r="W60">
        <v>39</v>
      </c>
      <c r="X60">
        <v>33</v>
      </c>
      <c r="Y60">
        <v>1</v>
      </c>
      <c r="Z60" t="s">
        <v>37</v>
      </c>
    </row>
    <row r="61" spans="1:26" x14ac:dyDescent="0.45">
      <c r="A61" t="s">
        <v>154</v>
      </c>
      <c r="B61" t="s">
        <v>104</v>
      </c>
      <c r="C61" t="s">
        <v>64</v>
      </c>
      <c r="D61" t="s">
        <v>96</v>
      </c>
      <c r="E61" t="s">
        <v>79</v>
      </c>
      <c r="F61" t="s">
        <v>89</v>
      </c>
      <c r="G61">
        <v>23378873613</v>
      </c>
      <c r="H61" t="s">
        <v>44</v>
      </c>
      <c r="I61" t="s">
        <v>81</v>
      </c>
      <c r="J61" t="s">
        <v>60</v>
      </c>
      <c r="K61" t="s">
        <v>35</v>
      </c>
      <c r="L61">
        <v>4</v>
      </c>
      <c r="M61">
        <v>8</v>
      </c>
      <c r="N61">
        <v>7</v>
      </c>
      <c r="O61">
        <v>10</v>
      </c>
      <c r="P61">
        <v>8</v>
      </c>
      <c r="Q61">
        <v>8</v>
      </c>
      <c r="R61">
        <v>6</v>
      </c>
      <c r="S61" t="s">
        <v>36</v>
      </c>
      <c r="T61">
        <v>56</v>
      </c>
      <c r="U61">
        <v>7.5</v>
      </c>
      <c r="V61">
        <v>65.5</v>
      </c>
      <c r="W61">
        <v>58.650000000000006</v>
      </c>
      <c r="X61">
        <v>54.125</v>
      </c>
      <c r="Y61">
        <v>0</v>
      </c>
      <c r="Z61" t="s">
        <v>37</v>
      </c>
    </row>
    <row r="62" spans="1:26" x14ac:dyDescent="0.45">
      <c r="A62" t="s">
        <v>155</v>
      </c>
      <c r="B62" t="s">
        <v>57</v>
      </c>
      <c r="C62" t="s">
        <v>58</v>
      </c>
      <c r="D62" t="s">
        <v>41</v>
      </c>
      <c r="E62" t="s">
        <v>76</v>
      </c>
      <c r="F62" t="s">
        <v>89</v>
      </c>
      <c r="G62">
        <v>29984477312</v>
      </c>
      <c r="H62" t="s">
        <v>53</v>
      </c>
      <c r="I62" t="s">
        <v>81</v>
      </c>
      <c r="J62" t="s">
        <v>46</v>
      </c>
      <c r="K62" t="s">
        <v>90</v>
      </c>
      <c r="L62">
        <v>2</v>
      </c>
      <c r="M62">
        <v>3</v>
      </c>
      <c r="N62">
        <v>3</v>
      </c>
      <c r="O62">
        <v>3</v>
      </c>
      <c r="P62">
        <v>2</v>
      </c>
      <c r="Q62">
        <v>2</v>
      </c>
      <c r="R62">
        <v>8</v>
      </c>
      <c r="S62" t="s">
        <v>48</v>
      </c>
      <c r="T62">
        <v>91</v>
      </c>
      <c r="U62">
        <v>2.5</v>
      </c>
      <c r="V62">
        <v>58</v>
      </c>
      <c r="W62">
        <v>50.15</v>
      </c>
      <c r="X62">
        <v>56.375</v>
      </c>
      <c r="Y62">
        <v>1</v>
      </c>
      <c r="Z62" t="s">
        <v>37</v>
      </c>
    </row>
    <row r="63" spans="1:26" x14ac:dyDescent="0.45">
      <c r="A63" t="s">
        <v>156</v>
      </c>
      <c r="B63" t="s">
        <v>39</v>
      </c>
      <c r="C63" t="s">
        <v>40</v>
      </c>
      <c r="D63" t="s">
        <v>88</v>
      </c>
      <c r="E63" t="s">
        <v>42</v>
      </c>
      <c r="F63" t="s">
        <v>43</v>
      </c>
      <c r="G63">
        <v>2164676997</v>
      </c>
      <c r="H63" t="s">
        <v>72</v>
      </c>
      <c r="I63" t="s">
        <v>33</v>
      </c>
      <c r="J63" t="s">
        <v>107</v>
      </c>
      <c r="K63" t="s">
        <v>55</v>
      </c>
      <c r="L63">
        <v>2</v>
      </c>
      <c r="M63">
        <v>8</v>
      </c>
      <c r="N63">
        <v>2</v>
      </c>
      <c r="O63">
        <v>10</v>
      </c>
      <c r="P63">
        <v>9</v>
      </c>
      <c r="Q63">
        <v>7</v>
      </c>
      <c r="R63">
        <v>4</v>
      </c>
      <c r="S63" t="s">
        <v>61</v>
      </c>
      <c r="T63">
        <v>70</v>
      </c>
      <c r="U63">
        <v>6.333333333333333</v>
      </c>
      <c r="V63">
        <v>66.666666666666657</v>
      </c>
      <c r="W63">
        <v>65.166666666666657</v>
      </c>
      <c r="X63">
        <v>65.583333333333329</v>
      </c>
      <c r="Y63">
        <v>0</v>
      </c>
      <c r="Z63" t="s">
        <v>37</v>
      </c>
    </row>
    <row r="64" spans="1:26" x14ac:dyDescent="0.45">
      <c r="A64" t="s">
        <v>157</v>
      </c>
      <c r="B64" t="s">
        <v>87</v>
      </c>
      <c r="C64" t="s">
        <v>64</v>
      </c>
      <c r="D64" t="s">
        <v>29</v>
      </c>
      <c r="E64" t="s">
        <v>52</v>
      </c>
      <c r="F64" t="s">
        <v>31</v>
      </c>
      <c r="G64">
        <v>39704195790</v>
      </c>
      <c r="H64" t="s">
        <v>53</v>
      </c>
      <c r="I64" t="s">
        <v>81</v>
      </c>
      <c r="J64" t="s">
        <v>115</v>
      </c>
      <c r="K64" t="s">
        <v>90</v>
      </c>
      <c r="L64">
        <v>2</v>
      </c>
      <c r="M64">
        <v>5</v>
      </c>
      <c r="N64">
        <v>8</v>
      </c>
      <c r="O64">
        <v>9</v>
      </c>
      <c r="P64">
        <v>5</v>
      </c>
      <c r="Q64">
        <v>9</v>
      </c>
      <c r="R64">
        <v>6</v>
      </c>
      <c r="S64" t="s">
        <v>36</v>
      </c>
      <c r="T64">
        <v>43</v>
      </c>
      <c r="U64">
        <v>6.333333333333333</v>
      </c>
      <c r="V64">
        <v>53.166666666666664</v>
      </c>
      <c r="W64">
        <v>49.36666666666666</v>
      </c>
      <c r="X64">
        <v>45.583333333333329</v>
      </c>
      <c r="Y64">
        <v>0</v>
      </c>
      <c r="Z64" t="s">
        <v>37</v>
      </c>
    </row>
    <row r="65" spans="1:26" x14ac:dyDescent="0.45">
      <c r="A65" t="s">
        <v>158</v>
      </c>
      <c r="B65" t="s">
        <v>27</v>
      </c>
      <c r="C65" t="s">
        <v>28</v>
      </c>
      <c r="D65" t="s">
        <v>41</v>
      </c>
      <c r="E65" t="s">
        <v>76</v>
      </c>
      <c r="F65" t="s">
        <v>89</v>
      </c>
      <c r="G65">
        <v>38069320185</v>
      </c>
      <c r="H65" t="s">
        <v>32</v>
      </c>
      <c r="I65" t="s">
        <v>33</v>
      </c>
      <c r="J65" t="s">
        <v>34</v>
      </c>
      <c r="K65" t="s">
        <v>82</v>
      </c>
      <c r="L65">
        <v>7</v>
      </c>
      <c r="M65">
        <v>7</v>
      </c>
      <c r="N65">
        <v>5</v>
      </c>
      <c r="O65">
        <v>6</v>
      </c>
      <c r="P65">
        <v>6</v>
      </c>
      <c r="Q65">
        <v>8</v>
      </c>
      <c r="R65">
        <v>8</v>
      </c>
      <c r="S65" t="s">
        <v>48</v>
      </c>
      <c r="T65">
        <v>79</v>
      </c>
      <c r="U65">
        <v>6.5</v>
      </c>
      <c r="V65">
        <v>72</v>
      </c>
      <c r="W65">
        <v>59.35</v>
      </c>
      <c r="X65">
        <v>57.375</v>
      </c>
      <c r="Y65">
        <v>1</v>
      </c>
      <c r="Z65" t="s">
        <v>37</v>
      </c>
    </row>
    <row r="66" spans="1:26" x14ac:dyDescent="0.45">
      <c r="A66" t="s">
        <v>159</v>
      </c>
      <c r="B66" t="s">
        <v>39</v>
      </c>
      <c r="C66" t="s">
        <v>40</v>
      </c>
      <c r="D66" t="s">
        <v>51</v>
      </c>
      <c r="E66" t="s">
        <v>52</v>
      </c>
      <c r="F66" t="s">
        <v>65</v>
      </c>
      <c r="G66">
        <v>30021997054</v>
      </c>
      <c r="H66" t="s">
        <v>53</v>
      </c>
      <c r="I66" t="s">
        <v>33</v>
      </c>
      <c r="J66" t="s">
        <v>107</v>
      </c>
      <c r="K66" t="s">
        <v>120</v>
      </c>
      <c r="L66">
        <v>8</v>
      </c>
      <c r="M66">
        <v>2</v>
      </c>
      <c r="N66">
        <v>3</v>
      </c>
      <c r="O66">
        <v>9</v>
      </c>
      <c r="P66">
        <v>3</v>
      </c>
      <c r="Q66">
        <v>2</v>
      </c>
      <c r="R66">
        <v>4</v>
      </c>
      <c r="S66" t="s">
        <v>36</v>
      </c>
      <c r="T66">
        <v>56</v>
      </c>
      <c r="U66">
        <v>4.5</v>
      </c>
      <c r="V66">
        <v>50.5</v>
      </c>
      <c r="W66">
        <v>53.15</v>
      </c>
      <c r="X66">
        <v>55.375</v>
      </c>
      <c r="Y66">
        <v>0</v>
      </c>
      <c r="Z66" t="s">
        <v>37</v>
      </c>
    </row>
    <row r="67" spans="1:26" x14ac:dyDescent="0.45">
      <c r="A67" t="s">
        <v>160</v>
      </c>
      <c r="B67" t="s">
        <v>117</v>
      </c>
      <c r="C67" t="s">
        <v>71</v>
      </c>
      <c r="D67" t="s">
        <v>29</v>
      </c>
      <c r="E67" t="s">
        <v>76</v>
      </c>
      <c r="F67" t="s">
        <v>31</v>
      </c>
      <c r="G67">
        <v>27489349662</v>
      </c>
      <c r="H67" t="s">
        <v>66</v>
      </c>
      <c r="I67" t="s">
        <v>67</v>
      </c>
      <c r="J67" t="s">
        <v>107</v>
      </c>
      <c r="K67" t="s">
        <v>47</v>
      </c>
      <c r="L67">
        <v>5</v>
      </c>
      <c r="M67">
        <v>7</v>
      </c>
      <c r="N67">
        <v>6</v>
      </c>
      <c r="O67">
        <v>9</v>
      </c>
      <c r="P67">
        <v>9</v>
      </c>
      <c r="Q67">
        <v>3</v>
      </c>
      <c r="R67">
        <v>6</v>
      </c>
      <c r="S67" t="s">
        <v>36</v>
      </c>
      <c r="T67">
        <v>90</v>
      </c>
      <c r="U67">
        <v>6.5</v>
      </c>
      <c r="V67">
        <v>77.5</v>
      </c>
      <c r="W67">
        <v>68.75</v>
      </c>
      <c r="X67">
        <v>69.375</v>
      </c>
      <c r="Y67">
        <v>0</v>
      </c>
      <c r="Z67" t="s">
        <v>37</v>
      </c>
    </row>
    <row r="68" spans="1:26" x14ac:dyDescent="0.45">
      <c r="A68" t="s">
        <v>161</v>
      </c>
      <c r="B68" t="s">
        <v>94</v>
      </c>
      <c r="C68" t="s">
        <v>71</v>
      </c>
      <c r="D68" t="s">
        <v>41</v>
      </c>
      <c r="E68" t="s">
        <v>30</v>
      </c>
      <c r="F68" t="s">
        <v>59</v>
      </c>
      <c r="G68">
        <v>10262760342</v>
      </c>
      <c r="H68" t="s">
        <v>44</v>
      </c>
      <c r="I68" t="s">
        <v>98</v>
      </c>
      <c r="J68" t="s">
        <v>115</v>
      </c>
      <c r="K68" t="s">
        <v>82</v>
      </c>
      <c r="L68">
        <v>2</v>
      </c>
      <c r="M68">
        <v>8</v>
      </c>
      <c r="N68">
        <v>5</v>
      </c>
      <c r="O68">
        <v>5</v>
      </c>
      <c r="P68">
        <v>2</v>
      </c>
      <c r="Q68">
        <v>8</v>
      </c>
      <c r="R68">
        <v>7</v>
      </c>
      <c r="S68" t="s">
        <v>48</v>
      </c>
      <c r="T68">
        <v>73</v>
      </c>
      <c r="U68">
        <v>5</v>
      </c>
      <c r="V68">
        <v>61.5</v>
      </c>
      <c r="W68">
        <v>54.2</v>
      </c>
      <c r="X68">
        <v>55</v>
      </c>
      <c r="Y68">
        <v>1</v>
      </c>
      <c r="Z68" t="s">
        <v>37</v>
      </c>
    </row>
    <row r="69" spans="1:26" x14ac:dyDescent="0.45">
      <c r="A69" t="s">
        <v>162</v>
      </c>
      <c r="B69" t="s">
        <v>27</v>
      </c>
      <c r="C69" t="s">
        <v>28</v>
      </c>
      <c r="D69" t="s">
        <v>88</v>
      </c>
      <c r="E69" t="s">
        <v>42</v>
      </c>
      <c r="F69" t="s">
        <v>31</v>
      </c>
      <c r="G69">
        <v>27681822633</v>
      </c>
      <c r="H69" t="s">
        <v>72</v>
      </c>
      <c r="I69" t="s">
        <v>81</v>
      </c>
      <c r="J69" t="s">
        <v>46</v>
      </c>
      <c r="K69" t="s">
        <v>35</v>
      </c>
      <c r="L69">
        <v>4</v>
      </c>
      <c r="M69">
        <v>9</v>
      </c>
      <c r="N69">
        <v>5</v>
      </c>
      <c r="O69">
        <v>10</v>
      </c>
      <c r="P69">
        <v>3</v>
      </c>
      <c r="Q69">
        <v>2</v>
      </c>
      <c r="R69">
        <v>8</v>
      </c>
      <c r="S69" t="s">
        <v>48</v>
      </c>
      <c r="T69">
        <v>64</v>
      </c>
      <c r="U69">
        <v>5.5</v>
      </c>
      <c r="V69">
        <v>59.5</v>
      </c>
      <c r="W69">
        <v>49.85</v>
      </c>
      <c r="X69">
        <v>48.125</v>
      </c>
      <c r="Y69">
        <v>1</v>
      </c>
      <c r="Z69" t="s">
        <v>37</v>
      </c>
    </row>
    <row r="70" spans="1:26" x14ac:dyDescent="0.45">
      <c r="A70" t="s">
        <v>163</v>
      </c>
      <c r="B70" t="s">
        <v>57</v>
      </c>
      <c r="C70" t="s">
        <v>58</v>
      </c>
      <c r="D70" t="s">
        <v>88</v>
      </c>
      <c r="E70" t="s">
        <v>52</v>
      </c>
      <c r="F70" t="s">
        <v>65</v>
      </c>
      <c r="G70">
        <v>18563620531</v>
      </c>
      <c r="H70" t="s">
        <v>44</v>
      </c>
      <c r="I70" t="s">
        <v>98</v>
      </c>
      <c r="J70" t="s">
        <v>60</v>
      </c>
      <c r="K70" t="s">
        <v>90</v>
      </c>
      <c r="L70">
        <v>3</v>
      </c>
      <c r="M70">
        <v>7</v>
      </c>
      <c r="N70">
        <v>7</v>
      </c>
      <c r="O70">
        <v>9</v>
      </c>
      <c r="P70">
        <v>4</v>
      </c>
      <c r="Q70">
        <v>2</v>
      </c>
      <c r="R70">
        <v>10</v>
      </c>
      <c r="S70" t="s">
        <v>48</v>
      </c>
      <c r="T70">
        <v>75</v>
      </c>
      <c r="U70">
        <v>5.333333333333333</v>
      </c>
      <c r="V70">
        <v>64.166666666666657</v>
      </c>
      <c r="W70">
        <v>48.666666666666664</v>
      </c>
      <c r="X70">
        <v>46.833333333333329</v>
      </c>
      <c r="Y70">
        <v>1</v>
      </c>
      <c r="Z70" t="s">
        <v>37</v>
      </c>
    </row>
    <row r="71" spans="1:26" x14ac:dyDescent="0.45">
      <c r="A71" t="s">
        <v>164</v>
      </c>
      <c r="B71" t="s">
        <v>100</v>
      </c>
      <c r="C71" t="s">
        <v>40</v>
      </c>
      <c r="D71" t="s">
        <v>51</v>
      </c>
      <c r="E71" t="s">
        <v>79</v>
      </c>
      <c r="F71" t="s">
        <v>89</v>
      </c>
      <c r="G71">
        <v>23669466537</v>
      </c>
      <c r="H71" t="s">
        <v>72</v>
      </c>
      <c r="I71" t="s">
        <v>45</v>
      </c>
      <c r="J71" t="s">
        <v>68</v>
      </c>
      <c r="K71" t="s">
        <v>82</v>
      </c>
      <c r="L71">
        <v>2</v>
      </c>
      <c r="M71">
        <v>2</v>
      </c>
      <c r="N71">
        <v>3</v>
      </c>
      <c r="O71">
        <v>7</v>
      </c>
      <c r="P71">
        <v>6</v>
      </c>
      <c r="Q71">
        <v>2</v>
      </c>
      <c r="R71">
        <v>5</v>
      </c>
      <c r="S71" t="s">
        <v>36</v>
      </c>
      <c r="T71">
        <v>81</v>
      </c>
      <c r="U71">
        <v>3.6666666666666665</v>
      </c>
      <c r="V71">
        <v>58.833333333333329</v>
      </c>
      <c r="W71">
        <v>57.733333333333334</v>
      </c>
      <c r="X71">
        <v>63.166666666666671</v>
      </c>
      <c r="Y71">
        <v>0</v>
      </c>
      <c r="Z71" t="s">
        <v>37</v>
      </c>
    </row>
    <row r="72" spans="1:26" x14ac:dyDescent="0.45">
      <c r="A72" t="s">
        <v>165</v>
      </c>
      <c r="B72" t="s">
        <v>87</v>
      </c>
      <c r="C72" t="s">
        <v>64</v>
      </c>
      <c r="D72" t="s">
        <v>41</v>
      </c>
      <c r="E72" t="s">
        <v>30</v>
      </c>
      <c r="F72" t="s">
        <v>89</v>
      </c>
      <c r="G72">
        <v>36074009928</v>
      </c>
      <c r="H72" t="s">
        <v>72</v>
      </c>
      <c r="I72" t="s">
        <v>67</v>
      </c>
      <c r="J72" t="s">
        <v>107</v>
      </c>
      <c r="K72" t="s">
        <v>82</v>
      </c>
      <c r="L72">
        <v>3</v>
      </c>
      <c r="M72">
        <v>6</v>
      </c>
      <c r="N72">
        <v>3</v>
      </c>
      <c r="O72">
        <v>4</v>
      </c>
      <c r="P72">
        <v>7</v>
      </c>
      <c r="Q72">
        <v>8</v>
      </c>
      <c r="R72">
        <v>8</v>
      </c>
      <c r="S72" t="s">
        <v>48</v>
      </c>
      <c r="T72">
        <v>93</v>
      </c>
      <c r="U72">
        <v>5.166666666666667</v>
      </c>
      <c r="V72">
        <v>72.333333333333343</v>
      </c>
      <c r="W72">
        <v>60.283333333333331</v>
      </c>
      <c r="X72">
        <v>62.041666666666664</v>
      </c>
      <c r="Y72">
        <v>1</v>
      </c>
      <c r="Z72" t="s">
        <v>37</v>
      </c>
    </row>
    <row r="73" spans="1:26" x14ac:dyDescent="0.45">
      <c r="A73" t="s">
        <v>166</v>
      </c>
      <c r="B73" t="s">
        <v>141</v>
      </c>
      <c r="C73" t="s">
        <v>28</v>
      </c>
      <c r="D73" t="s">
        <v>29</v>
      </c>
      <c r="E73" t="s">
        <v>85</v>
      </c>
      <c r="F73" t="s">
        <v>43</v>
      </c>
      <c r="G73">
        <v>12489328776</v>
      </c>
      <c r="H73" t="s">
        <v>53</v>
      </c>
      <c r="I73" t="s">
        <v>45</v>
      </c>
      <c r="J73" t="s">
        <v>115</v>
      </c>
      <c r="K73" t="s">
        <v>47</v>
      </c>
      <c r="L73">
        <v>4</v>
      </c>
      <c r="M73">
        <v>5</v>
      </c>
      <c r="N73">
        <v>8</v>
      </c>
      <c r="O73">
        <v>6</v>
      </c>
      <c r="P73">
        <v>4</v>
      </c>
      <c r="Q73">
        <v>6</v>
      </c>
      <c r="R73">
        <v>10</v>
      </c>
      <c r="S73" t="s">
        <v>48</v>
      </c>
      <c r="T73">
        <v>91</v>
      </c>
      <c r="U73">
        <v>5.5</v>
      </c>
      <c r="V73">
        <v>73</v>
      </c>
      <c r="W73">
        <v>55.65</v>
      </c>
      <c r="X73">
        <v>55.125</v>
      </c>
      <c r="Y73">
        <v>1</v>
      </c>
      <c r="Z73" t="s">
        <v>37</v>
      </c>
    </row>
    <row r="74" spans="1:26" x14ac:dyDescent="0.45">
      <c r="A74" t="s">
        <v>167</v>
      </c>
      <c r="B74" t="s">
        <v>74</v>
      </c>
      <c r="C74" t="s">
        <v>75</v>
      </c>
      <c r="D74" t="s">
        <v>51</v>
      </c>
      <c r="E74" t="s">
        <v>42</v>
      </c>
      <c r="F74" t="s">
        <v>31</v>
      </c>
      <c r="G74">
        <v>31093202943</v>
      </c>
      <c r="H74" t="s">
        <v>72</v>
      </c>
      <c r="I74" t="s">
        <v>81</v>
      </c>
      <c r="J74" t="s">
        <v>107</v>
      </c>
      <c r="K74" t="s">
        <v>47</v>
      </c>
      <c r="L74">
        <v>7</v>
      </c>
      <c r="M74">
        <v>5</v>
      </c>
      <c r="N74">
        <v>8</v>
      </c>
      <c r="O74">
        <v>5</v>
      </c>
      <c r="P74">
        <v>4</v>
      </c>
      <c r="Q74">
        <v>8</v>
      </c>
      <c r="R74">
        <v>3</v>
      </c>
      <c r="S74" t="s">
        <v>61</v>
      </c>
      <c r="T74">
        <v>53</v>
      </c>
      <c r="U74">
        <v>6.166666666666667</v>
      </c>
      <c r="V74">
        <v>57.333333333333336</v>
      </c>
      <c r="W74">
        <v>60.283333333333331</v>
      </c>
      <c r="X74">
        <v>60.041666666666664</v>
      </c>
      <c r="Y74">
        <v>0</v>
      </c>
      <c r="Z74" t="s">
        <v>37</v>
      </c>
    </row>
    <row r="75" spans="1:26" x14ac:dyDescent="0.45">
      <c r="A75" t="s">
        <v>168</v>
      </c>
      <c r="B75" t="s">
        <v>27</v>
      </c>
      <c r="C75" t="s">
        <v>28</v>
      </c>
      <c r="D75" t="s">
        <v>51</v>
      </c>
      <c r="E75" t="s">
        <v>42</v>
      </c>
      <c r="F75" t="s">
        <v>89</v>
      </c>
      <c r="G75">
        <v>13251883957</v>
      </c>
      <c r="H75" t="s">
        <v>44</v>
      </c>
      <c r="I75" t="s">
        <v>67</v>
      </c>
      <c r="J75" t="s">
        <v>115</v>
      </c>
      <c r="K75" t="s">
        <v>90</v>
      </c>
      <c r="L75">
        <v>9</v>
      </c>
      <c r="M75">
        <v>6</v>
      </c>
      <c r="N75">
        <v>2</v>
      </c>
      <c r="O75">
        <v>9</v>
      </c>
      <c r="P75">
        <v>2</v>
      </c>
      <c r="Q75">
        <v>5</v>
      </c>
      <c r="R75">
        <v>5</v>
      </c>
      <c r="S75" t="s">
        <v>36</v>
      </c>
      <c r="T75">
        <v>36</v>
      </c>
      <c r="U75">
        <v>5.5</v>
      </c>
      <c r="V75">
        <v>45.5</v>
      </c>
      <c r="W75">
        <v>46.15</v>
      </c>
      <c r="X75">
        <v>43.875</v>
      </c>
      <c r="Y75">
        <v>0</v>
      </c>
      <c r="Z75" t="s">
        <v>37</v>
      </c>
    </row>
    <row r="76" spans="1:26" x14ac:dyDescent="0.45">
      <c r="A76" t="s">
        <v>169</v>
      </c>
      <c r="B76" t="s">
        <v>70</v>
      </c>
      <c r="C76" t="s">
        <v>71</v>
      </c>
      <c r="D76" t="s">
        <v>51</v>
      </c>
      <c r="E76" t="s">
        <v>42</v>
      </c>
      <c r="F76" t="s">
        <v>65</v>
      </c>
      <c r="G76">
        <v>40092287793</v>
      </c>
      <c r="H76" t="s">
        <v>80</v>
      </c>
      <c r="I76" t="s">
        <v>67</v>
      </c>
      <c r="J76" t="s">
        <v>115</v>
      </c>
      <c r="K76" t="s">
        <v>47</v>
      </c>
      <c r="L76">
        <v>6</v>
      </c>
      <c r="M76">
        <v>4</v>
      </c>
      <c r="N76">
        <v>2</v>
      </c>
      <c r="O76">
        <v>5</v>
      </c>
      <c r="P76">
        <v>5</v>
      </c>
      <c r="Q76">
        <v>3</v>
      </c>
      <c r="R76">
        <v>8</v>
      </c>
      <c r="S76" t="s">
        <v>48</v>
      </c>
      <c r="T76">
        <v>91</v>
      </c>
      <c r="U76">
        <v>4.166666666666667</v>
      </c>
      <c r="V76">
        <v>66.333333333333343</v>
      </c>
      <c r="W76">
        <v>55.983333333333334</v>
      </c>
      <c r="X76">
        <v>59.291666666666671</v>
      </c>
      <c r="Y76">
        <v>1</v>
      </c>
      <c r="Z76" t="s">
        <v>37</v>
      </c>
    </row>
    <row r="77" spans="1:26" x14ac:dyDescent="0.45">
      <c r="A77" t="s">
        <v>170</v>
      </c>
      <c r="B77" t="s">
        <v>123</v>
      </c>
      <c r="C77" t="s">
        <v>75</v>
      </c>
      <c r="D77" t="s">
        <v>96</v>
      </c>
      <c r="E77" t="s">
        <v>30</v>
      </c>
      <c r="F77" t="s">
        <v>59</v>
      </c>
      <c r="G77">
        <v>25779123937</v>
      </c>
      <c r="H77" t="s">
        <v>44</v>
      </c>
      <c r="I77" t="s">
        <v>98</v>
      </c>
      <c r="J77" t="s">
        <v>115</v>
      </c>
      <c r="K77" t="s">
        <v>35</v>
      </c>
      <c r="L77">
        <v>4</v>
      </c>
      <c r="M77">
        <v>4</v>
      </c>
      <c r="N77">
        <v>3</v>
      </c>
      <c r="O77">
        <v>3</v>
      </c>
      <c r="P77">
        <v>9</v>
      </c>
      <c r="Q77">
        <v>2</v>
      </c>
      <c r="R77">
        <v>5</v>
      </c>
      <c r="S77" t="s">
        <v>36</v>
      </c>
      <c r="T77">
        <v>94</v>
      </c>
      <c r="U77">
        <v>4.166666666666667</v>
      </c>
      <c r="V77">
        <v>67.833333333333343</v>
      </c>
      <c r="W77">
        <v>64.683333333333337</v>
      </c>
      <c r="X77">
        <v>70.541666666666671</v>
      </c>
      <c r="Y77">
        <v>0</v>
      </c>
      <c r="Z77" t="s">
        <v>37</v>
      </c>
    </row>
    <row r="78" spans="1:26" x14ac:dyDescent="0.45">
      <c r="A78" t="s">
        <v>171</v>
      </c>
      <c r="B78" t="s">
        <v>117</v>
      </c>
      <c r="C78" t="s">
        <v>71</v>
      </c>
      <c r="D78" t="s">
        <v>88</v>
      </c>
      <c r="E78" t="s">
        <v>85</v>
      </c>
      <c r="F78" t="s">
        <v>65</v>
      </c>
      <c r="G78">
        <v>49061642839</v>
      </c>
      <c r="H78" t="s">
        <v>80</v>
      </c>
      <c r="I78" t="s">
        <v>33</v>
      </c>
      <c r="J78" t="s">
        <v>107</v>
      </c>
      <c r="K78" t="s">
        <v>55</v>
      </c>
      <c r="L78">
        <v>7</v>
      </c>
      <c r="M78">
        <v>2</v>
      </c>
      <c r="N78">
        <v>5</v>
      </c>
      <c r="O78">
        <v>10</v>
      </c>
      <c r="P78">
        <v>8</v>
      </c>
      <c r="Q78">
        <v>3</v>
      </c>
      <c r="R78">
        <v>5</v>
      </c>
      <c r="S78" t="s">
        <v>36</v>
      </c>
      <c r="T78">
        <v>77</v>
      </c>
      <c r="U78">
        <v>5.833333333333333</v>
      </c>
      <c r="V78">
        <v>67.666666666666657</v>
      </c>
      <c r="W78">
        <v>63.716666666666669</v>
      </c>
      <c r="X78">
        <v>64.958333333333329</v>
      </c>
      <c r="Y78">
        <v>0</v>
      </c>
      <c r="Z78" t="s">
        <v>37</v>
      </c>
    </row>
    <row r="79" spans="1:26" x14ac:dyDescent="0.45">
      <c r="A79" t="s">
        <v>172</v>
      </c>
      <c r="B79" t="s">
        <v>117</v>
      </c>
      <c r="C79" t="s">
        <v>71</v>
      </c>
      <c r="D79" t="s">
        <v>101</v>
      </c>
      <c r="E79" t="s">
        <v>30</v>
      </c>
      <c r="F79" t="s">
        <v>65</v>
      </c>
      <c r="G79">
        <v>36011993678</v>
      </c>
      <c r="H79" t="s">
        <v>53</v>
      </c>
      <c r="I79" t="s">
        <v>54</v>
      </c>
      <c r="J79" t="s">
        <v>46</v>
      </c>
      <c r="K79" t="s">
        <v>55</v>
      </c>
      <c r="L79">
        <v>9</v>
      </c>
      <c r="M79">
        <v>6</v>
      </c>
      <c r="N79">
        <v>4</v>
      </c>
      <c r="O79">
        <v>10</v>
      </c>
      <c r="P79">
        <v>7</v>
      </c>
      <c r="Q79">
        <v>6</v>
      </c>
      <c r="R79">
        <v>4</v>
      </c>
      <c r="S79" t="s">
        <v>61</v>
      </c>
      <c r="T79">
        <v>81</v>
      </c>
      <c r="U79">
        <v>7</v>
      </c>
      <c r="V79">
        <v>75.5</v>
      </c>
      <c r="W79">
        <v>71.900000000000006</v>
      </c>
      <c r="X79">
        <v>72.25</v>
      </c>
      <c r="Y79">
        <v>0</v>
      </c>
      <c r="Z79" t="s">
        <v>37</v>
      </c>
    </row>
    <row r="80" spans="1:26" x14ac:dyDescent="0.45">
      <c r="A80" t="s">
        <v>173</v>
      </c>
      <c r="B80" t="s">
        <v>63</v>
      </c>
      <c r="C80" t="s">
        <v>64</v>
      </c>
      <c r="D80" t="s">
        <v>96</v>
      </c>
      <c r="E80" t="s">
        <v>85</v>
      </c>
      <c r="F80" t="s">
        <v>43</v>
      </c>
      <c r="G80">
        <v>31198751297</v>
      </c>
      <c r="H80" t="s">
        <v>66</v>
      </c>
      <c r="I80" t="s">
        <v>67</v>
      </c>
      <c r="J80" t="s">
        <v>107</v>
      </c>
      <c r="K80" t="s">
        <v>90</v>
      </c>
      <c r="L80">
        <v>4</v>
      </c>
      <c r="M80">
        <v>7</v>
      </c>
      <c r="N80">
        <v>7</v>
      </c>
      <c r="O80">
        <v>10</v>
      </c>
      <c r="P80">
        <v>5</v>
      </c>
      <c r="Q80">
        <v>2</v>
      </c>
      <c r="R80">
        <v>4</v>
      </c>
      <c r="S80" t="s">
        <v>61</v>
      </c>
      <c r="T80">
        <v>39</v>
      </c>
      <c r="U80">
        <v>5.833333333333333</v>
      </c>
      <c r="V80">
        <v>48.666666666666664</v>
      </c>
      <c r="W80">
        <v>51.016666666666666</v>
      </c>
      <c r="X80">
        <v>49.208333333333329</v>
      </c>
      <c r="Y80">
        <v>0</v>
      </c>
      <c r="Z80" t="s">
        <v>37</v>
      </c>
    </row>
    <row r="81" spans="1:26" x14ac:dyDescent="0.45">
      <c r="A81" t="s">
        <v>174</v>
      </c>
      <c r="B81" t="s">
        <v>74</v>
      </c>
      <c r="C81" t="s">
        <v>75</v>
      </c>
      <c r="D81" t="s">
        <v>101</v>
      </c>
      <c r="E81" t="s">
        <v>52</v>
      </c>
      <c r="F81" t="s">
        <v>89</v>
      </c>
      <c r="G81">
        <v>46276362696</v>
      </c>
      <c r="H81" t="s">
        <v>72</v>
      </c>
      <c r="I81" t="s">
        <v>98</v>
      </c>
      <c r="J81" t="s">
        <v>60</v>
      </c>
      <c r="K81" t="s">
        <v>35</v>
      </c>
      <c r="L81">
        <v>9</v>
      </c>
      <c r="M81">
        <v>8</v>
      </c>
      <c r="N81">
        <v>7</v>
      </c>
      <c r="O81">
        <v>4</v>
      </c>
      <c r="P81">
        <v>2</v>
      </c>
      <c r="Q81">
        <v>6</v>
      </c>
      <c r="R81">
        <v>5</v>
      </c>
      <c r="S81" t="s">
        <v>36</v>
      </c>
      <c r="T81">
        <v>83</v>
      </c>
      <c r="U81">
        <v>6</v>
      </c>
      <c r="V81">
        <v>71.5</v>
      </c>
      <c r="W81">
        <v>66.7</v>
      </c>
      <c r="X81">
        <v>68.25</v>
      </c>
      <c r="Y81">
        <v>0</v>
      </c>
      <c r="Z81" t="s">
        <v>37</v>
      </c>
    </row>
    <row r="82" spans="1:26" x14ac:dyDescent="0.45">
      <c r="A82" t="s">
        <v>175</v>
      </c>
      <c r="B82" t="s">
        <v>27</v>
      </c>
      <c r="C82" t="s">
        <v>28</v>
      </c>
      <c r="D82" t="s">
        <v>29</v>
      </c>
      <c r="E82" t="s">
        <v>85</v>
      </c>
      <c r="F82" t="s">
        <v>59</v>
      </c>
      <c r="G82">
        <v>33215527784</v>
      </c>
      <c r="H82" t="s">
        <v>80</v>
      </c>
      <c r="I82" t="s">
        <v>98</v>
      </c>
      <c r="J82" t="s">
        <v>68</v>
      </c>
      <c r="K82" t="s">
        <v>120</v>
      </c>
      <c r="L82">
        <v>6</v>
      </c>
      <c r="M82">
        <v>7</v>
      </c>
      <c r="N82">
        <v>2</v>
      </c>
      <c r="O82">
        <v>8</v>
      </c>
      <c r="P82">
        <v>7</v>
      </c>
      <c r="Q82">
        <v>2</v>
      </c>
      <c r="R82">
        <v>9</v>
      </c>
      <c r="S82" t="s">
        <v>48</v>
      </c>
      <c r="T82">
        <v>93</v>
      </c>
      <c r="U82">
        <v>5.333333333333333</v>
      </c>
      <c r="V82">
        <v>73.166666666666657</v>
      </c>
      <c r="W82">
        <v>58.366666666666667</v>
      </c>
      <c r="X82">
        <v>59.083333333333329</v>
      </c>
      <c r="Y82">
        <v>1</v>
      </c>
      <c r="Z82" t="s">
        <v>37</v>
      </c>
    </row>
    <row r="83" spans="1:26" x14ac:dyDescent="0.45">
      <c r="A83" t="s">
        <v>176</v>
      </c>
      <c r="B83" t="s">
        <v>70</v>
      </c>
      <c r="C83" t="s">
        <v>71</v>
      </c>
      <c r="D83" t="s">
        <v>51</v>
      </c>
      <c r="E83" t="s">
        <v>42</v>
      </c>
      <c r="F83" t="s">
        <v>65</v>
      </c>
      <c r="G83">
        <v>36615469468</v>
      </c>
      <c r="H83" t="s">
        <v>66</v>
      </c>
      <c r="I83" t="s">
        <v>67</v>
      </c>
      <c r="J83" t="s">
        <v>60</v>
      </c>
      <c r="K83" t="s">
        <v>47</v>
      </c>
      <c r="L83">
        <v>8</v>
      </c>
      <c r="M83">
        <v>4</v>
      </c>
      <c r="N83">
        <v>3</v>
      </c>
      <c r="O83">
        <v>8</v>
      </c>
      <c r="P83">
        <v>5</v>
      </c>
      <c r="Q83">
        <v>9</v>
      </c>
      <c r="R83">
        <v>9</v>
      </c>
      <c r="S83" t="s">
        <v>48</v>
      </c>
      <c r="T83">
        <v>51</v>
      </c>
      <c r="U83">
        <v>6.166666666666667</v>
      </c>
      <c r="V83">
        <v>56.333333333333336</v>
      </c>
      <c r="W83">
        <v>44.483333333333334</v>
      </c>
      <c r="X83">
        <v>39.541666666666664</v>
      </c>
      <c r="Y83">
        <v>1</v>
      </c>
      <c r="Z83" t="s">
        <v>37</v>
      </c>
    </row>
    <row r="84" spans="1:26" x14ac:dyDescent="0.45">
      <c r="A84" t="s">
        <v>177</v>
      </c>
      <c r="B84" t="s">
        <v>104</v>
      </c>
      <c r="C84" t="s">
        <v>64</v>
      </c>
      <c r="D84" t="s">
        <v>51</v>
      </c>
      <c r="E84" t="s">
        <v>79</v>
      </c>
      <c r="F84" t="s">
        <v>65</v>
      </c>
      <c r="G84">
        <v>41347389966</v>
      </c>
      <c r="H84" t="s">
        <v>53</v>
      </c>
      <c r="I84" t="s">
        <v>98</v>
      </c>
      <c r="J84" t="s">
        <v>68</v>
      </c>
      <c r="K84" t="s">
        <v>90</v>
      </c>
      <c r="L84">
        <v>7</v>
      </c>
      <c r="M84">
        <v>2</v>
      </c>
      <c r="N84">
        <v>4</v>
      </c>
      <c r="O84">
        <v>5</v>
      </c>
      <c r="P84">
        <v>5</v>
      </c>
      <c r="Q84">
        <v>7</v>
      </c>
      <c r="R84">
        <v>5</v>
      </c>
      <c r="S84" t="s">
        <v>36</v>
      </c>
      <c r="T84">
        <v>83</v>
      </c>
      <c r="U84">
        <v>5</v>
      </c>
      <c r="V84">
        <v>66.5</v>
      </c>
      <c r="W84">
        <v>63.2</v>
      </c>
      <c r="X84">
        <v>66.5</v>
      </c>
      <c r="Y84">
        <v>0</v>
      </c>
      <c r="Z84" t="s">
        <v>37</v>
      </c>
    </row>
    <row r="85" spans="1:26" x14ac:dyDescent="0.45">
      <c r="A85" t="s">
        <v>178</v>
      </c>
      <c r="B85" t="s">
        <v>106</v>
      </c>
      <c r="C85" t="s">
        <v>28</v>
      </c>
      <c r="D85" t="s">
        <v>101</v>
      </c>
      <c r="E85" t="s">
        <v>30</v>
      </c>
      <c r="F85" t="s">
        <v>43</v>
      </c>
      <c r="G85">
        <v>6344072552</v>
      </c>
      <c r="H85" t="s">
        <v>44</v>
      </c>
      <c r="I85" t="s">
        <v>67</v>
      </c>
      <c r="J85" t="s">
        <v>34</v>
      </c>
      <c r="K85" t="s">
        <v>47</v>
      </c>
      <c r="L85">
        <v>9</v>
      </c>
      <c r="M85">
        <v>9</v>
      </c>
      <c r="N85">
        <v>4</v>
      </c>
      <c r="O85">
        <v>10</v>
      </c>
      <c r="P85">
        <v>9</v>
      </c>
      <c r="Q85">
        <v>9</v>
      </c>
      <c r="R85">
        <v>6</v>
      </c>
      <c r="S85" t="s">
        <v>61</v>
      </c>
      <c r="T85">
        <v>37</v>
      </c>
      <c r="U85">
        <v>8.3333333333333339</v>
      </c>
      <c r="V85">
        <v>60.166666666666671</v>
      </c>
      <c r="W85">
        <v>53.966666666666669</v>
      </c>
      <c r="X85">
        <v>46.083333333333336</v>
      </c>
      <c r="Y85">
        <v>0</v>
      </c>
      <c r="Z85" t="s">
        <v>37</v>
      </c>
    </row>
    <row r="86" spans="1:26" x14ac:dyDescent="0.45">
      <c r="A86" t="s">
        <v>179</v>
      </c>
      <c r="B86" t="s">
        <v>117</v>
      </c>
      <c r="C86" t="s">
        <v>71</v>
      </c>
      <c r="D86" t="s">
        <v>29</v>
      </c>
      <c r="E86" t="s">
        <v>42</v>
      </c>
      <c r="F86" t="s">
        <v>43</v>
      </c>
      <c r="G86">
        <v>12366471298</v>
      </c>
      <c r="H86" t="s">
        <v>66</v>
      </c>
      <c r="I86" t="s">
        <v>98</v>
      </c>
      <c r="J86" t="s">
        <v>68</v>
      </c>
      <c r="K86" t="s">
        <v>47</v>
      </c>
      <c r="L86">
        <v>4</v>
      </c>
      <c r="M86">
        <v>6</v>
      </c>
      <c r="N86">
        <v>7</v>
      </c>
      <c r="O86">
        <v>10</v>
      </c>
      <c r="P86">
        <v>8</v>
      </c>
      <c r="Q86">
        <v>8</v>
      </c>
      <c r="R86">
        <v>9</v>
      </c>
      <c r="S86" t="s">
        <v>48</v>
      </c>
      <c r="T86">
        <v>65</v>
      </c>
      <c r="U86">
        <v>7.166666666666667</v>
      </c>
      <c r="V86">
        <v>68.333333333333343</v>
      </c>
      <c r="W86">
        <v>53.583333333333329</v>
      </c>
      <c r="X86">
        <v>48.291666666666664</v>
      </c>
      <c r="Y86">
        <v>1</v>
      </c>
      <c r="Z86" t="s">
        <v>37</v>
      </c>
    </row>
    <row r="87" spans="1:26" x14ac:dyDescent="0.45">
      <c r="A87" t="s">
        <v>180</v>
      </c>
      <c r="B87" t="s">
        <v>92</v>
      </c>
      <c r="C87" t="s">
        <v>75</v>
      </c>
      <c r="D87" t="s">
        <v>101</v>
      </c>
      <c r="E87" t="s">
        <v>30</v>
      </c>
      <c r="F87" t="s">
        <v>59</v>
      </c>
      <c r="G87">
        <v>26664001547</v>
      </c>
      <c r="H87" t="s">
        <v>72</v>
      </c>
      <c r="I87" t="s">
        <v>33</v>
      </c>
      <c r="J87" t="s">
        <v>60</v>
      </c>
      <c r="K87" t="s">
        <v>120</v>
      </c>
      <c r="L87">
        <v>6</v>
      </c>
      <c r="M87">
        <v>7</v>
      </c>
      <c r="N87">
        <v>6</v>
      </c>
      <c r="O87">
        <v>10</v>
      </c>
      <c r="P87">
        <v>7</v>
      </c>
      <c r="Q87">
        <v>6</v>
      </c>
      <c r="R87">
        <v>6</v>
      </c>
      <c r="S87" t="s">
        <v>36</v>
      </c>
      <c r="T87">
        <v>81</v>
      </c>
      <c r="U87">
        <v>7</v>
      </c>
      <c r="V87">
        <v>75.5</v>
      </c>
      <c r="W87">
        <v>66.900000000000006</v>
      </c>
      <c r="X87">
        <v>65.75</v>
      </c>
      <c r="Y87">
        <v>0</v>
      </c>
      <c r="Z87" t="s">
        <v>37</v>
      </c>
    </row>
    <row r="88" spans="1:26" x14ac:dyDescent="0.45">
      <c r="A88" t="s">
        <v>181</v>
      </c>
      <c r="B88" t="s">
        <v>106</v>
      </c>
      <c r="C88" t="s">
        <v>28</v>
      </c>
      <c r="D88" t="s">
        <v>29</v>
      </c>
      <c r="E88" t="s">
        <v>76</v>
      </c>
      <c r="F88" t="s">
        <v>43</v>
      </c>
      <c r="G88">
        <v>18969325551</v>
      </c>
      <c r="H88" t="s">
        <v>53</v>
      </c>
      <c r="I88" t="s">
        <v>67</v>
      </c>
      <c r="J88" t="s">
        <v>68</v>
      </c>
      <c r="K88" t="s">
        <v>55</v>
      </c>
      <c r="L88">
        <v>6</v>
      </c>
      <c r="M88">
        <v>5</v>
      </c>
      <c r="N88">
        <v>9</v>
      </c>
      <c r="O88">
        <v>3</v>
      </c>
      <c r="P88">
        <v>7</v>
      </c>
      <c r="Q88">
        <v>2</v>
      </c>
      <c r="R88">
        <v>4</v>
      </c>
      <c r="S88" t="s">
        <v>61</v>
      </c>
      <c r="T88">
        <v>62</v>
      </c>
      <c r="U88">
        <v>5.333333333333333</v>
      </c>
      <c r="V88">
        <v>57.666666666666664</v>
      </c>
      <c r="W88">
        <v>58.466666666666669</v>
      </c>
      <c r="X88">
        <v>59.833333333333329</v>
      </c>
      <c r="Y88">
        <v>0</v>
      </c>
      <c r="Z88" t="s">
        <v>37</v>
      </c>
    </row>
    <row r="89" spans="1:26" x14ac:dyDescent="0.45">
      <c r="A89" t="s">
        <v>182</v>
      </c>
      <c r="B89" t="s">
        <v>39</v>
      </c>
      <c r="C89" t="s">
        <v>40</v>
      </c>
      <c r="D89" t="s">
        <v>101</v>
      </c>
      <c r="E89" t="s">
        <v>52</v>
      </c>
      <c r="F89" t="s">
        <v>89</v>
      </c>
      <c r="G89">
        <v>33460327820</v>
      </c>
      <c r="H89" t="s">
        <v>80</v>
      </c>
      <c r="I89" t="s">
        <v>98</v>
      </c>
      <c r="J89" t="s">
        <v>34</v>
      </c>
      <c r="K89" t="s">
        <v>55</v>
      </c>
      <c r="L89">
        <v>5</v>
      </c>
      <c r="M89">
        <v>7</v>
      </c>
      <c r="N89">
        <v>7</v>
      </c>
      <c r="O89">
        <v>5</v>
      </c>
      <c r="P89">
        <v>3</v>
      </c>
      <c r="Q89">
        <v>9</v>
      </c>
      <c r="R89">
        <v>7</v>
      </c>
      <c r="S89" t="s">
        <v>36</v>
      </c>
      <c r="T89">
        <v>46</v>
      </c>
      <c r="U89">
        <v>6</v>
      </c>
      <c r="V89">
        <v>53</v>
      </c>
      <c r="W89">
        <v>46.900000000000006</v>
      </c>
      <c r="X89">
        <v>43.25</v>
      </c>
      <c r="Y89">
        <v>0</v>
      </c>
      <c r="Z89" t="s">
        <v>37</v>
      </c>
    </row>
    <row r="90" spans="1:26" x14ac:dyDescent="0.45">
      <c r="A90" t="s">
        <v>183</v>
      </c>
      <c r="B90" t="s">
        <v>123</v>
      </c>
      <c r="C90" t="s">
        <v>75</v>
      </c>
      <c r="D90" t="s">
        <v>51</v>
      </c>
      <c r="E90" t="s">
        <v>42</v>
      </c>
      <c r="F90" t="s">
        <v>89</v>
      </c>
      <c r="G90">
        <v>12680420458</v>
      </c>
      <c r="H90" t="s">
        <v>44</v>
      </c>
      <c r="I90" t="s">
        <v>81</v>
      </c>
      <c r="J90" t="s">
        <v>60</v>
      </c>
      <c r="K90" t="s">
        <v>55</v>
      </c>
      <c r="L90">
        <v>9</v>
      </c>
      <c r="M90">
        <v>7</v>
      </c>
      <c r="N90">
        <v>2</v>
      </c>
      <c r="O90">
        <v>3</v>
      </c>
      <c r="P90">
        <v>6</v>
      </c>
      <c r="Q90">
        <v>3</v>
      </c>
      <c r="R90">
        <v>4</v>
      </c>
      <c r="S90" t="s">
        <v>36</v>
      </c>
      <c r="T90">
        <v>39</v>
      </c>
      <c r="U90">
        <v>5</v>
      </c>
      <c r="V90">
        <v>44.5</v>
      </c>
      <c r="W90">
        <v>48.1</v>
      </c>
      <c r="X90">
        <v>47.75</v>
      </c>
      <c r="Y90">
        <v>0</v>
      </c>
      <c r="Z90" t="s">
        <v>37</v>
      </c>
    </row>
    <row r="91" spans="1:26" x14ac:dyDescent="0.45">
      <c r="A91" t="s">
        <v>184</v>
      </c>
      <c r="B91" t="s">
        <v>78</v>
      </c>
      <c r="C91" t="s">
        <v>58</v>
      </c>
      <c r="D91" t="s">
        <v>29</v>
      </c>
      <c r="E91" t="s">
        <v>42</v>
      </c>
      <c r="F91" t="s">
        <v>59</v>
      </c>
      <c r="G91">
        <v>2903123174</v>
      </c>
      <c r="H91" t="s">
        <v>53</v>
      </c>
      <c r="I91" t="s">
        <v>81</v>
      </c>
      <c r="J91" t="s">
        <v>107</v>
      </c>
      <c r="K91" t="s">
        <v>35</v>
      </c>
      <c r="L91">
        <v>7</v>
      </c>
      <c r="M91">
        <v>7</v>
      </c>
      <c r="N91">
        <v>7</v>
      </c>
      <c r="O91">
        <v>4</v>
      </c>
      <c r="P91">
        <v>4</v>
      </c>
      <c r="Q91">
        <v>8</v>
      </c>
      <c r="R91">
        <v>4</v>
      </c>
      <c r="S91" t="s">
        <v>61</v>
      </c>
      <c r="T91">
        <v>73</v>
      </c>
      <c r="U91">
        <v>6.166666666666667</v>
      </c>
      <c r="V91">
        <v>67.333333333333343</v>
      </c>
      <c r="W91">
        <v>65.783333333333331</v>
      </c>
      <c r="X91">
        <v>66.791666666666657</v>
      </c>
      <c r="Y91">
        <v>0</v>
      </c>
      <c r="Z91" t="s">
        <v>37</v>
      </c>
    </row>
    <row r="92" spans="1:26" x14ac:dyDescent="0.45">
      <c r="A92" t="s">
        <v>185</v>
      </c>
      <c r="B92" t="s">
        <v>141</v>
      </c>
      <c r="C92" t="s">
        <v>28</v>
      </c>
      <c r="D92" t="s">
        <v>101</v>
      </c>
      <c r="E92" t="s">
        <v>42</v>
      </c>
      <c r="F92" t="s">
        <v>43</v>
      </c>
      <c r="G92">
        <v>6517072494</v>
      </c>
      <c r="H92" t="s">
        <v>44</v>
      </c>
      <c r="I92" t="s">
        <v>45</v>
      </c>
      <c r="J92" t="s">
        <v>115</v>
      </c>
      <c r="K92" t="s">
        <v>35</v>
      </c>
      <c r="L92">
        <v>5</v>
      </c>
      <c r="M92">
        <v>4</v>
      </c>
      <c r="N92">
        <v>6</v>
      </c>
      <c r="O92">
        <v>8</v>
      </c>
      <c r="P92">
        <v>2</v>
      </c>
      <c r="Q92">
        <v>7</v>
      </c>
      <c r="R92">
        <v>9</v>
      </c>
      <c r="S92" t="s">
        <v>48</v>
      </c>
      <c r="T92">
        <v>56</v>
      </c>
      <c r="U92">
        <v>5.333333333333333</v>
      </c>
      <c r="V92">
        <v>54.666666666666664</v>
      </c>
      <c r="W92">
        <v>43.566666666666663</v>
      </c>
      <c r="X92">
        <v>40.583333333333329</v>
      </c>
      <c r="Y92">
        <v>1</v>
      </c>
      <c r="Z92" t="s">
        <v>37</v>
      </c>
    </row>
    <row r="93" spans="1:26" x14ac:dyDescent="0.45">
      <c r="A93" t="s">
        <v>186</v>
      </c>
      <c r="B93" t="s">
        <v>70</v>
      </c>
      <c r="C93" t="s">
        <v>71</v>
      </c>
      <c r="D93" t="s">
        <v>41</v>
      </c>
      <c r="E93" t="s">
        <v>79</v>
      </c>
      <c r="F93" t="s">
        <v>65</v>
      </c>
      <c r="G93">
        <v>9390968731</v>
      </c>
      <c r="H93" t="s">
        <v>44</v>
      </c>
      <c r="I93" t="s">
        <v>81</v>
      </c>
      <c r="J93" t="s">
        <v>68</v>
      </c>
      <c r="K93" t="s">
        <v>120</v>
      </c>
      <c r="L93">
        <v>3</v>
      </c>
      <c r="M93">
        <v>8</v>
      </c>
      <c r="N93">
        <v>9</v>
      </c>
      <c r="O93">
        <v>3</v>
      </c>
      <c r="P93">
        <v>6</v>
      </c>
      <c r="Q93">
        <v>8</v>
      </c>
      <c r="R93">
        <v>9</v>
      </c>
      <c r="S93" t="s">
        <v>48</v>
      </c>
      <c r="T93">
        <v>83</v>
      </c>
      <c r="U93">
        <v>6.166666666666667</v>
      </c>
      <c r="V93">
        <v>72.333333333333343</v>
      </c>
      <c r="W93">
        <v>57.283333333333331</v>
      </c>
      <c r="X93">
        <v>55.541666666666664</v>
      </c>
      <c r="Y93">
        <v>1</v>
      </c>
      <c r="Z93" t="s">
        <v>37</v>
      </c>
    </row>
    <row r="94" spans="1:26" x14ac:dyDescent="0.45">
      <c r="A94" t="s">
        <v>187</v>
      </c>
      <c r="B94" t="s">
        <v>78</v>
      </c>
      <c r="C94" t="s">
        <v>58</v>
      </c>
      <c r="D94" t="s">
        <v>29</v>
      </c>
      <c r="E94" t="s">
        <v>76</v>
      </c>
      <c r="F94" t="s">
        <v>43</v>
      </c>
      <c r="G94">
        <v>39056231622</v>
      </c>
      <c r="H94" t="s">
        <v>80</v>
      </c>
      <c r="I94" t="s">
        <v>81</v>
      </c>
      <c r="J94" t="s">
        <v>115</v>
      </c>
      <c r="K94" t="s">
        <v>82</v>
      </c>
      <c r="L94">
        <v>4</v>
      </c>
      <c r="M94">
        <v>8</v>
      </c>
      <c r="N94">
        <v>3</v>
      </c>
      <c r="O94">
        <v>7</v>
      </c>
      <c r="P94">
        <v>6</v>
      </c>
      <c r="Q94">
        <v>3</v>
      </c>
      <c r="R94">
        <v>8</v>
      </c>
      <c r="S94" t="s">
        <v>48</v>
      </c>
      <c r="T94">
        <v>84</v>
      </c>
      <c r="U94">
        <v>5.166666666666667</v>
      </c>
      <c r="V94">
        <v>67.833333333333343</v>
      </c>
      <c r="W94">
        <v>56.683333333333337</v>
      </c>
      <c r="X94">
        <v>57.541666666666671</v>
      </c>
      <c r="Y94">
        <v>1</v>
      </c>
      <c r="Z94" t="s">
        <v>37</v>
      </c>
    </row>
    <row r="95" spans="1:26" x14ac:dyDescent="0.45">
      <c r="A95" t="s">
        <v>188</v>
      </c>
      <c r="B95" t="s">
        <v>104</v>
      </c>
      <c r="C95" t="s">
        <v>64</v>
      </c>
      <c r="D95" t="s">
        <v>88</v>
      </c>
      <c r="E95" t="s">
        <v>42</v>
      </c>
      <c r="F95" t="s">
        <v>31</v>
      </c>
      <c r="G95">
        <v>25330644445</v>
      </c>
      <c r="H95" t="s">
        <v>80</v>
      </c>
      <c r="I95" t="s">
        <v>54</v>
      </c>
      <c r="J95" t="s">
        <v>60</v>
      </c>
      <c r="K95" t="s">
        <v>90</v>
      </c>
      <c r="L95">
        <v>2</v>
      </c>
      <c r="M95">
        <v>9</v>
      </c>
      <c r="N95">
        <v>8</v>
      </c>
      <c r="O95">
        <v>8</v>
      </c>
      <c r="P95">
        <v>8</v>
      </c>
      <c r="Q95">
        <v>7</v>
      </c>
      <c r="R95">
        <v>7</v>
      </c>
      <c r="S95" t="s">
        <v>36</v>
      </c>
      <c r="T95">
        <v>76</v>
      </c>
      <c r="U95">
        <v>7</v>
      </c>
      <c r="V95">
        <v>73</v>
      </c>
      <c r="W95">
        <v>62.400000000000006</v>
      </c>
      <c r="X95">
        <v>60</v>
      </c>
      <c r="Y95">
        <v>0</v>
      </c>
      <c r="Z95" t="s">
        <v>37</v>
      </c>
    </row>
    <row r="96" spans="1:26" x14ac:dyDescent="0.45">
      <c r="A96" t="s">
        <v>189</v>
      </c>
      <c r="B96" t="s">
        <v>57</v>
      </c>
      <c r="C96" t="s">
        <v>58</v>
      </c>
      <c r="D96" t="s">
        <v>101</v>
      </c>
      <c r="E96" t="s">
        <v>42</v>
      </c>
      <c r="F96" t="s">
        <v>65</v>
      </c>
      <c r="G96">
        <v>7217410377</v>
      </c>
      <c r="H96" t="s">
        <v>66</v>
      </c>
      <c r="I96" t="s">
        <v>54</v>
      </c>
      <c r="J96" t="s">
        <v>46</v>
      </c>
      <c r="K96" t="s">
        <v>47</v>
      </c>
      <c r="L96">
        <v>6</v>
      </c>
      <c r="M96">
        <v>4</v>
      </c>
      <c r="N96">
        <v>9</v>
      </c>
      <c r="O96">
        <v>3</v>
      </c>
      <c r="P96">
        <v>9</v>
      </c>
      <c r="Q96">
        <v>9</v>
      </c>
      <c r="R96">
        <v>10</v>
      </c>
      <c r="S96" t="s">
        <v>48</v>
      </c>
      <c r="T96">
        <v>67</v>
      </c>
      <c r="U96">
        <v>6.666666666666667</v>
      </c>
      <c r="V96">
        <v>66.833333333333343</v>
      </c>
      <c r="W96">
        <v>50.133333333333333</v>
      </c>
      <c r="X96">
        <v>45.166666666666664</v>
      </c>
      <c r="Y96">
        <v>1</v>
      </c>
      <c r="Z96" t="s">
        <v>37</v>
      </c>
    </row>
    <row r="97" spans="1:26" x14ac:dyDescent="0.45">
      <c r="A97" t="s">
        <v>190</v>
      </c>
      <c r="B97" t="s">
        <v>123</v>
      </c>
      <c r="C97" t="s">
        <v>75</v>
      </c>
      <c r="D97" t="s">
        <v>96</v>
      </c>
      <c r="E97" t="s">
        <v>85</v>
      </c>
      <c r="F97" t="s">
        <v>43</v>
      </c>
      <c r="G97">
        <v>36745249010</v>
      </c>
      <c r="H97" t="s">
        <v>53</v>
      </c>
      <c r="I97" t="s">
        <v>81</v>
      </c>
      <c r="J97" t="s">
        <v>115</v>
      </c>
      <c r="K97" t="s">
        <v>35</v>
      </c>
      <c r="L97">
        <v>9</v>
      </c>
      <c r="M97">
        <v>6</v>
      </c>
      <c r="N97">
        <v>7</v>
      </c>
      <c r="O97">
        <v>7</v>
      </c>
      <c r="P97">
        <v>2</v>
      </c>
      <c r="Q97">
        <v>7</v>
      </c>
      <c r="R97">
        <v>9</v>
      </c>
      <c r="S97" t="s">
        <v>48</v>
      </c>
      <c r="T97">
        <v>64</v>
      </c>
      <c r="U97">
        <v>6.333333333333333</v>
      </c>
      <c r="V97">
        <v>63.666666666666664</v>
      </c>
      <c r="W97">
        <v>50.266666666666666</v>
      </c>
      <c r="X97">
        <v>46.333333333333329</v>
      </c>
      <c r="Y97">
        <v>1</v>
      </c>
      <c r="Z97" t="s">
        <v>37</v>
      </c>
    </row>
    <row r="98" spans="1:26" x14ac:dyDescent="0.45">
      <c r="A98" t="s">
        <v>191</v>
      </c>
      <c r="B98" t="s">
        <v>70</v>
      </c>
      <c r="C98" t="s">
        <v>71</v>
      </c>
      <c r="D98" t="s">
        <v>29</v>
      </c>
      <c r="E98" t="s">
        <v>79</v>
      </c>
      <c r="F98" t="s">
        <v>59</v>
      </c>
      <c r="G98">
        <v>25756475810</v>
      </c>
      <c r="H98" t="s">
        <v>53</v>
      </c>
      <c r="I98" t="s">
        <v>67</v>
      </c>
      <c r="J98" t="s">
        <v>115</v>
      </c>
      <c r="K98" t="s">
        <v>82</v>
      </c>
      <c r="L98">
        <v>5</v>
      </c>
      <c r="M98">
        <v>7</v>
      </c>
      <c r="N98">
        <v>7</v>
      </c>
      <c r="O98">
        <v>5</v>
      </c>
      <c r="P98">
        <v>7</v>
      </c>
      <c r="Q98">
        <v>2</v>
      </c>
      <c r="R98">
        <v>4</v>
      </c>
      <c r="S98" t="s">
        <v>61</v>
      </c>
      <c r="T98">
        <v>93</v>
      </c>
      <c r="U98">
        <v>5.5</v>
      </c>
      <c r="V98">
        <v>74</v>
      </c>
      <c r="W98">
        <v>71.45</v>
      </c>
      <c r="X98">
        <v>75.625</v>
      </c>
      <c r="Y98">
        <v>0</v>
      </c>
      <c r="Z98" t="s">
        <v>37</v>
      </c>
    </row>
    <row r="99" spans="1:26" x14ac:dyDescent="0.45">
      <c r="A99" t="s">
        <v>192</v>
      </c>
      <c r="B99" t="s">
        <v>78</v>
      </c>
      <c r="C99" t="s">
        <v>58</v>
      </c>
      <c r="D99" t="s">
        <v>41</v>
      </c>
      <c r="E99" t="s">
        <v>30</v>
      </c>
      <c r="F99" t="s">
        <v>65</v>
      </c>
      <c r="G99">
        <v>25612462534</v>
      </c>
      <c r="H99" t="s">
        <v>32</v>
      </c>
      <c r="I99" t="s">
        <v>81</v>
      </c>
      <c r="J99" t="s">
        <v>60</v>
      </c>
      <c r="K99" t="s">
        <v>120</v>
      </c>
      <c r="L99">
        <v>9</v>
      </c>
      <c r="M99">
        <v>3</v>
      </c>
      <c r="N99">
        <v>2</v>
      </c>
      <c r="O99">
        <v>6</v>
      </c>
      <c r="P99">
        <v>9</v>
      </c>
      <c r="Q99">
        <v>4</v>
      </c>
      <c r="R99">
        <v>6</v>
      </c>
      <c r="S99" t="s">
        <v>36</v>
      </c>
      <c r="T99">
        <v>42</v>
      </c>
      <c r="U99">
        <v>5.5</v>
      </c>
      <c r="V99">
        <v>48.5</v>
      </c>
      <c r="W99">
        <v>46.05</v>
      </c>
      <c r="X99">
        <v>43.625</v>
      </c>
      <c r="Y99">
        <v>0</v>
      </c>
      <c r="Z99" t="s">
        <v>37</v>
      </c>
    </row>
    <row r="100" spans="1:26" x14ac:dyDescent="0.45">
      <c r="A100" t="s">
        <v>193</v>
      </c>
      <c r="B100" t="s">
        <v>39</v>
      </c>
      <c r="C100" t="s">
        <v>40</v>
      </c>
      <c r="D100" t="s">
        <v>88</v>
      </c>
      <c r="E100" t="s">
        <v>85</v>
      </c>
      <c r="F100" t="s">
        <v>31</v>
      </c>
      <c r="G100">
        <v>41954632809</v>
      </c>
      <c r="H100" t="s">
        <v>66</v>
      </c>
      <c r="I100" t="s">
        <v>54</v>
      </c>
      <c r="J100" t="s">
        <v>60</v>
      </c>
      <c r="K100" t="s">
        <v>35</v>
      </c>
      <c r="L100">
        <v>2</v>
      </c>
      <c r="M100">
        <v>2</v>
      </c>
      <c r="N100">
        <v>6</v>
      </c>
      <c r="O100">
        <v>3</v>
      </c>
      <c r="P100">
        <v>3</v>
      </c>
      <c r="Q100">
        <v>3</v>
      </c>
      <c r="R100">
        <v>10</v>
      </c>
      <c r="S100" t="s">
        <v>48</v>
      </c>
      <c r="T100">
        <v>84</v>
      </c>
      <c r="U100">
        <v>3.1666666666666665</v>
      </c>
      <c r="V100">
        <v>57.833333333333329</v>
      </c>
      <c r="W100">
        <v>44.683333333333337</v>
      </c>
      <c r="X100">
        <v>47.541666666666671</v>
      </c>
      <c r="Y100">
        <v>1</v>
      </c>
      <c r="Z100" t="s">
        <v>37</v>
      </c>
    </row>
    <row r="101" spans="1:26" x14ac:dyDescent="0.45">
      <c r="A101" t="s">
        <v>194</v>
      </c>
      <c r="B101" t="s">
        <v>106</v>
      </c>
      <c r="C101" t="s">
        <v>28</v>
      </c>
      <c r="D101" t="s">
        <v>101</v>
      </c>
      <c r="E101" t="s">
        <v>42</v>
      </c>
      <c r="F101" t="s">
        <v>43</v>
      </c>
      <c r="G101">
        <v>3288103475</v>
      </c>
      <c r="H101" t="s">
        <v>72</v>
      </c>
      <c r="I101" t="s">
        <v>81</v>
      </c>
      <c r="J101" t="s">
        <v>46</v>
      </c>
      <c r="K101" t="s">
        <v>90</v>
      </c>
      <c r="L101">
        <v>9</v>
      </c>
      <c r="M101">
        <v>9</v>
      </c>
      <c r="N101">
        <v>8</v>
      </c>
      <c r="O101">
        <v>8</v>
      </c>
      <c r="P101">
        <v>9</v>
      </c>
      <c r="Q101">
        <v>4</v>
      </c>
      <c r="R101">
        <v>6</v>
      </c>
      <c r="S101" t="s">
        <v>36</v>
      </c>
      <c r="T101">
        <v>43</v>
      </c>
      <c r="U101">
        <v>7.833333333333333</v>
      </c>
      <c r="V101">
        <v>60.666666666666664</v>
      </c>
      <c r="W101">
        <v>54.61666666666666</v>
      </c>
      <c r="X101">
        <v>48.208333333333329</v>
      </c>
      <c r="Y101">
        <v>0</v>
      </c>
      <c r="Z101" t="s">
        <v>37</v>
      </c>
    </row>
    <row r="102" spans="1:26" x14ac:dyDescent="0.45">
      <c r="A102" t="s">
        <v>195</v>
      </c>
      <c r="B102" t="s">
        <v>104</v>
      </c>
      <c r="C102" t="s">
        <v>64</v>
      </c>
      <c r="D102" t="s">
        <v>96</v>
      </c>
      <c r="E102" t="s">
        <v>52</v>
      </c>
      <c r="F102" t="s">
        <v>59</v>
      </c>
      <c r="G102">
        <v>38635254763</v>
      </c>
      <c r="H102" t="s">
        <v>72</v>
      </c>
      <c r="I102" t="s">
        <v>33</v>
      </c>
      <c r="J102" t="s">
        <v>68</v>
      </c>
      <c r="K102" t="s">
        <v>120</v>
      </c>
      <c r="L102">
        <v>9</v>
      </c>
      <c r="M102">
        <v>5</v>
      </c>
      <c r="N102">
        <v>9</v>
      </c>
      <c r="O102">
        <v>5</v>
      </c>
      <c r="P102">
        <v>7</v>
      </c>
      <c r="Q102">
        <v>3</v>
      </c>
      <c r="R102">
        <v>5</v>
      </c>
      <c r="S102" t="s">
        <v>36</v>
      </c>
      <c r="T102">
        <v>92</v>
      </c>
      <c r="U102">
        <v>6.333333333333333</v>
      </c>
      <c r="V102">
        <v>77.666666666666657</v>
      </c>
      <c r="W102">
        <v>71.466666666666669</v>
      </c>
      <c r="X102">
        <v>73.333333333333329</v>
      </c>
      <c r="Y102">
        <v>0</v>
      </c>
      <c r="Z102" t="s">
        <v>37</v>
      </c>
    </row>
    <row r="103" spans="1:26" x14ac:dyDescent="0.45">
      <c r="A103" t="s">
        <v>196</v>
      </c>
      <c r="B103" t="s">
        <v>27</v>
      </c>
      <c r="C103" t="s">
        <v>28</v>
      </c>
      <c r="D103" t="s">
        <v>96</v>
      </c>
      <c r="E103" t="s">
        <v>42</v>
      </c>
      <c r="F103" t="s">
        <v>59</v>
      </c>
      <c r="G103">
        <v>22151448019</v>
      </c>
      <c r="H103" t="s">
        <v>80</v>
      </c>
      <c r="I103" t="s">
        <v>54</v>
      </c>
      <c r="J103" t="s">
        <v>46</v>
      </c>
      <c r="K103" t="s">
        <v>90</v>
      </c>
      <c r="L103">
        <v>3</v>
      </c>
      <c r="M103">
        <v>8</v>
      </c>
      <c r="N103">
        <v>5</v>
      </c>
      <c r="O103">
        <v>10</v>
      </c>
      <c r="P103">
        <v>6</v>
      </c>
      <c r="Q103">
        <v>9</v>
      </c>
      <c r="R103">
        <v>5</v>
      </c>
      <c r="S103" t="s">
        <v>61</v>
      </c>
      <c r="T103">
        <v>90</v>
      </c>
      <c r="U103">
        <v>6.833333333333333</v>
      </c>
      <c r="V103">
        <v>79.166666666666657</v>
      </c>
      <c r="W103">
        <v>72.416666666666657</v>
      </c>
      <c r="X103">
        <v>73.208333333333329</v>
      </c>
      <c r="Y103">
        <v>0</v>
      </c>
      <c r="Z103" t="s">
        <v>37</v>
      </c>
    </row>
    <row r="104" spans="1:26" x14ac:dyDescent="0.45">
      <c r="A104" t="s">
        <v>197</v>
      </c>
      <c r="B104" t="s">
        <v>112</v>
      </c>
      <c r="C104" t="s">
        <v>58</v>
      </c>
      <c r="D104" t="s">
        <v>41</v>
      </c>
      <c r="E104" t="s">
        <v>52</v>
      </c>
      <c r="F104" t="s">
        <v>31</v>
      </c>
      <c r="G104">
        <v>3548998173</v>
      </c>
      <c r="H104" t="s">
        <v>80</v>
      </c>
      <c r="I104" t="s">
        <v>81</v>
      </c>
      <c r="J104" t="s">
        <v>68</v>
      </c>
      <c r="K104" t="s">
        <v>82</v>
      </c>
      <c r="L104">
        <v>9</v>
      </c>
      <c r="M104">
        <v>8</v>
      </c>
      <c r="N104">
        <v>2</v>
      </c>
      <c r="O104">
        <v>9</v>
      </c>
      <c r="P104">
        <v>8</v>
      </c>
      <c r="Q104">
        <v>6</v>
      </c>
      <c r="R104">
        <v>10</v>
      </c>
      <c r="S104" t="s">
        <v>48</v>
      </c>
      <c r="T104">
        <v>65</v>
      </c>
      <c r="U104">
        <v>7</v>
      </c>
      <c r="V104">
        <v>67.5</v>
      </c>
      <c r="W104">
        <v>50.5</v>
      </c>
      <c r="X104">
        <v>44.75</v>
      </c>
      <c r="Y104">
        <v>1</v>
      </c>
      <c r="Z104" t="s">
        <v>37</v>
      </c>
    </row>
    <row r="105" spans="1:26" x14ac:dyDescent="0.45">
      <c r="A105" t="s">
        <v>198</v>
      </c>
      <c r="B105" t="s">
        <v>78</v>
      </c>
      <c r="C105" t="s">
        <v>58</v>
      </c>
      <c r="D105" t="s">
        <v>29</v>
      </c>
      <c r="E105" t="s">
        <v>85</v>
      </c>
      <c r="F105" t="s">
        <v>31</v>
      </c>
      <c r="G105">
        <v>44046905976</v>
      </c>
      <c r="H105" t="s">
        <v>53</v>
      </c>
      <c r="I105" t="s">
        <v>45</v>
      </c>
      <c r="J105" t="s">
        <v>34</v>
      </c>
      <c r="K105" t="s">
        <v>82</v>
      </c>
      <c r="L105">
        <v>3</v>
      </c>
      <c r="M105">
        <v>3</v>
      </c>
      <c r="N105">
        <v>9</v>
      </c>
      <c r="O105">
        <v>9</v>
      </c>
      <c r="P105">
        <v>3</v>
      </c>
      <c r="Q105">
        <v>7</v>
      </c>
      <c r="R105">
        <v>3</v>
      </c>
      <c r="S105" t="s">
        <v>61</v>
      </c>
      <c r="T105">
        <v>49</v>
      </c>
      <c r="U105">
        <v>5.666666666666667</v>
      </c>
      <c r="V105">
        <v>52.833333333333336</v>
      </c>
      <c r="W105">
        <v>56.933333333333337</v>
      </c>
      <c r="X105">
        <v>57.166666666666671</v>
      </c>
      <c r="Y105">
        <v>0</v>
      </c>
      <c r="Z105" t="s">
        <v>37</v>
      </c>
    </row>
    <row r="106" spans="1:26" x14ac:dyDescent="0.45">
      <c r="A106" t="s">
        <v>199</v>
      </c>
      <c r="B106" t="s">
        <v>78</v>
      </c>
      <c r="C106" t="s">
        <v>58</v>
      </c>
      <c r="D106" t="s">
        <v>41</v>
      </c>
      <c r="E106" t="s">
        <v>42</v>
      </c>
      <c r="F106" t="s">
        <v>65</v>
      </c>
      <c r="G106">
        <v>38336398197</v>
      </c>
      <c r="H106" t="s">
        <v>66</v>
      </c>
      <c r="I106" t="s">
        <v>54</v>
      </c>
      <c r="J106" t="s">
        <v>115</v>
      </c>
      <c r="K106" t="s">
        <v>90</v>
      </c>
      <c r="L106">
        <v>7</v>
      </c>
      <c r="M106">
        <v>3</v>
      </c>
      <c r="N106">
        <v>7</v>
      </c>
      <c r="O106">
        <v>3</v>
      </c>
      <c r="P106">
        <v>8</v>
      </c>
      <c r="Q106">
        <v>4</v>
      </c>
      <c r="R106">
        <v>4</v>
      </c>
      <c r="S106" t="s">
        <v>61</v>
      </c>
      <c r="T106">
        <v>43</v>
      </c>
      <c r="U106">
        <v>5.333333333333333</v>
      </c>
      <c r="V106">
        <v>48.166666666666664</v>
      </c>
      <c r="W106">
        <v>50.86666666666666</v>
      </c>
      <c r="X106">
        <v>50.333333333333329</v>
      </c>
      <c r="Y106">
        <v>0</v>
      </c>
      <c r="Z106" t="s">
        <v>37</v>
      </c>
    </row>
    <row r="107" spans="1:26" x14ac:dyDescent="0.45">
      <c r="A107" t="s">
        <v>200</v>
      </c>
      <c r="B107" t="s">
        <v>112</v>
      </c>
      <c r="C107" t="s">
        <v>58</v>
      </c>
      <c r="D107" t="s">
        <v>101</v>
      </c>
      <c r="E107" t="s">
        <v>85</v>
      </c>
      <c r="F107" t="s">
        <v>65</v>
      </c>
      <c r="G107">
        <v>30352319021</v>
      </c>
      <c r="H107" t="s">
        <v>66</v>
      </c>
      <c r="I107" t="s">
        <v>67</v>
      </c>
      <c r="J107" t="s">
        <v>115</v>
      </c>
      <c r="K107" t="s">
        <v>120</v>
      </c>
      <c r="L107">
        <v>6</v>
      </c>
      <c r="M107">
        <v>4</v>
      </c>
      <c r="N107">
        <v>3</v>
      </c>
      <c r="O107">
        <v>8</v>
      </c>
      <c r="P107">
        <v>4</v>
      </c>
      <c r="Q107">
        <v>6</v>
      </c>
      <c r="R107">
        <v>8</v>
      </c>
      <c r="S107" t="s">
        <v>48</v>
      </c>
      <c r="T107">
        <v>79</v>
      </c>
      <c r="U107">
        <v>5.166666666666667</v>
      </c>
      <c r="V107">
        <v>65.333333333333343</v>
      </c>
      <c r="W107">
        <v>54.683333333333337</v>
      </c>
      <c r="X107">
        <v>55.041666666666671</v>
      </c>
      <c r="Y107">
        <v>1</v>
      </c>
      <c r="Z107" t="s">
        <v>37</v>
      </c>
    </row>
    <row r="108" spans="1:26" x14ac:dyDescent="0.45">
      <c r="A108" t="s">
        <v>201</v>
      </c>
      <c r="B108" t="s">
        <v>39</v>
      </c>
      <c r="C108" t="s">
        <v>40</v>
      </c>
      <c r="D108" t="s">
        <v>101</v>
      </c>
      <c r="E108" t="s">
        <v>79</v>
      </c>
      <c r="F108" t="s">
        <v>89</v>
      </c>
      <c r="G108">
        <v>39291524642</v>
      </c>
      <c r="H108" t="s">
        <v>72</v>
      </c>
      <c r="I108" t="s">
        <v>81</v>
      </c>
      <c r="J108" t="s">
        <v>60</v>
      </c>
      <c r="K108" t="s">
        <v>90</v>
      </c>
      <c r="L108">
        <v>9</v>
      </c>
      <c r="M108">
        <v>3</v>
      </c>
      <c r="N108">
        <v>3</v>
      </c>
      <c r="O108">
        <v>10</v>
      </c>
      <c r="P108">
        <v>7</v>
      </c>
      <c r="Q108">
        <v>8</v>
      </c>
      <c r="R108">
        <v>7</v>
      </c>
      <c r="S108" t="s">
        <v>36</v>
      </c>
      <c r="T108">
        <v>75</v>
      </c>
      <c r="U108">
        <v>6.666666666666667</v>
      </c>
      <c r="V108">
        <v>70.833333333333343</v>
      </c>
      <c r="W108">
        <v>60.833333333333329</v>
      </c>
      <c r="X108">
        <v>58.916666666666664</v>
      </c>
      <c r="Y108">
        <v>0</v>
      </c>
      <c r="Z108" t="s">
        <v>37</v>
      </c>
    </row>
    <row r="109" spans="1:26" x14ac:dyDescent="0.45">
      <c r="A109" t="s">
        <v>202</v>
      </c>
      <c r="B109" t="s">
        <v>57</v>
      </c>
      <c r="C109" t="s">
        <v>58</v>
      </c>
      <c r="D109" t="s">
        <v>41</v>
      </c>
      <c r="E109" t="s">
        <v>30</v>
      </c>
      <c r="F109" t="s">
        <v>43</v>
      </c>
      <c r="G109">
        <v>23932836558</v>
      </c>
      <c r="H109" t="s">
        <v>80</v>
      </c>
      <c r="I109" t="s">
        <v>45</v>
      </c>
      <c r="J109" t="s">
        <v>46</v>
      </c>
      <c r="K109" t="s">
        <v>120</v>
      </c>
      <c r="L109">
        <v>9</v>
      </c>
      <c r="M109">
        <v>4</v>
      </c>
      <c r="N109">
        <v>9</v>
      </c>
      <c r="O109">
        <v>9</v>
      </c>
      <c r="P109">
        <v>3</v>
      </c>
      <c r="Q109">
        <v>8</v>
      </c>
      <c r="R109">
        <v>5</v>
      </c>
      <c r="S109" t="s">
        <v>61</v>
      </c>
      <c r="T109">
        <v>87</v>
      </c>
      <c r="U109">
        <v>7</v>
      </c>
      <c r="V109">
        <v>78.5</v>
      </c>
      <c r="W109">
        <v>71.800000000000011</v>
      </c>
      <c r="X109">
        <v>72</v>
      </c>
      <c r="Y109">
        <v>0</v>
      </c>
      <c r="Z109" t="s">
        <v>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Pivots</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Atishey Jain</dc:creator>
  <cp:lastModifiedBy>Atishey Jain</cp:lastModifiedBy>
  <dcterms:created xsi:type="dcterms:W3CDTF">2026-06-19T08:41:03Z</dcterms:created>
  <dcterms:modified xsi:type="dcterms:W3CDTF">2026-06-19T08:59:25Z</dcterms:modified>
</cp:coreProperties>
</file>